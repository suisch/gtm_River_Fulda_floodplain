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sanneschmidt/Documents/head/Arbeit/projects/git/gw_ecosystem_services/Fulda_plains/R_git/gtm_River_Fulda_floodplain/gtm_River_Fulda_floodplain/"/>
    </mc:Choice>
  </mc:AlternateContent>
  <xr:revisionPtr revIDLastSave="0" documentId="13_ncr:1_{114C3D93-D6F4-3543-8C47-954D1BBB2C46}" xr6:coauthVersionLast="47" xr6:coauthVersionMax="47" xr10:uidLastSave="{00000000-0000-0000-0000-000000000000}"/>
  <bookViews>
    <workbookView xWindow="0" yWindow="500" windowWidth="24360" windowHeight="1320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1" i="6" l="1"/>
  <c r="X4" i="1" l="1"/>
  <c r="AD4" i="1" s="1"/>
  <c r="AE11" i="1" l="1"/>
  <c r="AE10" i="1"/>
  <c r="AE13" i="1"/>
  <c r="AE12" i="1"/>
  <c r="AE9" i="1"/>
  <c r="AE8" i="1"/>
  <c r="AE7" i="1"/>
  <c r="AE6" i="1"/>
  <c r="AE5" i="1"/>
  <c r="AE4" i="1"/>
  <c r="AF5" i="1"/>
  <c r="AF6" i="1"/>
  <c r="AF7" i="1"/>
  <c r="AF8" i="1"/>
  <c r="AF9" i="1"/>
  <c r="AF12" i="1"/>
  <c r="AF13" i="1"/>
  <c r="AF10" i="1"/>
  <c r="AF11" i="1"/>
  <c r="AF4" i="1"/>
  <c r="X5" i="1"/>
  <c r="AD5" i="1" s="1"/>
  <c r="X6" i="1"/>
  <c r="AD6" i="1" s="1"/>
  <c r="X7" i="1"/>
  <c r="AD7" i="1" s="1"/>
  <c r="X8" i="1"/>
  <c r="AD8" i="1" s="1"/>
  <c r="X9" i="1"/>
  <c r="AD9" i="1" s="1"/>
  <c r="X12" i="1"/>
  <c r="AD12" i="1" s="1"/>
  <c r="X13" i="1"/>
  <c r="AD13" i="1" s="1"/>
  <c r="X10" i="1"/>
  <c r="AD10" i="1" s="1"/>
  <c r="X11" i="1"/>
  <c r="AD11" i="1" s="1"/>
  <c r="U11" i="1" l="1"/>
  <c r="U10" i="1"/>
  <c r="T11" i="1" l="1"/>
  <c r="T10" i="1"/>
  <c r="T9" i="1"/>
  <c r="T8" i="1"/>
  <c r="T7" i="1"/>
  <c r="T6" i="1"/>
  <c r="T5" i="1"/>
  <c r="T4" i="1"/>
  <c r="U13" i="1" l="1"/>
  <c r="U12" i="1"/>
  <c r="V13" i="1"/>
  <c r="H13" i="1"/>
  <c r="F13" i="1"/>
  <c r="I13" i="1" s="1"/>
  <c r="J13" i="1" s="1"/>
  <c r="V12" i="1"/>
  <c r="H12" i="1"/>
  <c r="F12" i="1"/>
  <c r="I12" i="1" l="1"/>
  <c r="J12" i="1" s="1"/>
  <c r="M12" i="1" s="1"/>
  <c r="M13" i="1"/>
  <c r="K13" i="1"/>
  <c r="K12" i="1" l="1"/>
  <c r="V11" i="1"/>
  <c r="H11" i="1"/>
  <c r="F11" i="1"/>
  <c r="I11" i="1" s="1"/>
  <c r="J11" i="1" s="1"/>
  <c r="V10" i="1"/>
  <c r="H10" i="1"/>
  <c r="F10" i="1"/>
  <c r="I10" i="1" l="1"/>
  <c r="J10" i="1" s="1"/>
  <c r="M10" i="1" s="1"/>
  <c r="M11" i="1"/>
  <c r="K11" i="1"/>
  <c r="K10" i="1" l="1"/>
  <c r="D136" i="6"/>
  <c r="D134" i="6"/>
  <c r="D132" i="6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U8" i="1"/>
  <c r="H8" i="1"/>
  <c r="F8" i="1"/>
  <c r="U7" i="1"/>
  <c r="H7" i="1"/>
  <c r="F7" i="1"/>
  <c r="U6" i="1"/>
  <c r="H6" i="1"/>
  <c r="F6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tc={B2EEDDFE-EFB6-B842-B3B1-49218DCB8340}</author>
    <author>tc={D83D8722-287D-8544-91DC-DFD968583D4B}</author>
    <author>tc={0F2B29B9-EE72-C54A-8714-498DD1A3C8E0}</author>
    <author>tc={3C0608B8-171F-064A-822A-A3CC6DDC9FC4}</author>
    <author>tc={B2EEDDFE-EFB6-B843-B3B1-49218DCB8340}</author>
    <author>tc={D83D8722-287D-8545-91DC-DFD968583D4B}</author>
    <author>tc={8AB12162-2BF7-9849-9318-3D6AC8CBAB8F}</author>
    <author>tc={D578DC42-15AA-9242-8F7A-DCCCBD7DB327}</author>
    <author>tc={B2EEDDFE-EFB6-B844-B3B1-49218DCB8340}</author>
    <author>tc={D83D8722-287D-8546-91DC-DFD968583D4B}</author>
    <author>tc={28910C3F-267C-EF48-8C2C-F6C895522D82}</author>
    <author>tc={E7A076DC-8E76-1148-951F-1F3AE0C081A3}</author>
    <author>tc={B2EEDDFE-EFB6-B845-B3B1-49218DCB8340}</author>
    <author>tc={D83D8722-287D-8547-91DC-DFD968583D4B}</author>
    <author>tc={E68EDC32-0C11-F24F-BC92-6599E44DEE2B}</author>
    <author>tc={03DDDF21-1FDE-1A44-92CB-02C9D1E67681}</author>
    <author>tc={B2EEDDFE-EFB6-B846-B3B1-49218DCB8340}</author>
    <author>tc={D83D8722-287D-8548-91DC-DFD968583D4B}</author>
    <author>tc={E68EDC32-0C11-F250-BC92-6599E44DEE2B}</author>
    <author>tc={03DDDF21-1FDE-1A45-92CB-02C9D1E67681}</author>
    <author>tc={B2EEDDFE-EFB6-B847-B3B1-49218DCB8340}</author>
    <author>tc={D83D8722-287D-8549-91DC-DFD968583D4B}</author>
    <author>tc={E68EDC32-0C11-F251-BC92-6599E44DEE2B}</author>
    <author>tc={03DDDF21-1FDE-1A46-92CB-02C9D1E67681}</author>
    <author>tc={B2EEDDFE-EFB6-B848-B3B1-49218DCB8340}</author>
    <author>tc={D83D8722-287D-854A-91DC-DFD968583D4B}</author>
    <author>tc={E68EDC32-0C11-F252-BC92-6599E44DEE2B}</author>
    <author>tc={03DDDF21-1FDE-1A47-92CB-02C9D1E67681}</author>
    <author>tc={B2EEDDFE-EFB6-B849-B3B1-49218DCB8340}</author>
    <author>tc={D83D8722-287D-854B-91DC-DFD968583D4B}</author>
    <author>tc={E68EDC32-0C11-F253-BC92-6599E44DEE2B}</author>
    <author>tc={03DDDF21-1FDE-1A48-92CB-02C9D1E67681}</author>
    <author>tc={B2EEDDFE-EFB6-B84A-B3B1-49218DCB8340}</author>
    <author>tc={D83D8722-287D-854C-91DC-DFD968583D4B}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C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4" authorId="2" shapeId="0" xr:uid="{A973AB73-A4B2-DB42-8CE2-2E9D2BA6D3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4" authorId="3" shapeId="0" xr:uid="{B2EEDDFE-EFB6-B841-B3B1-49218DCB834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4" authorId="4" shapeId="0" xr:uid="{D83D8722-287D-8543-91DC-DFD968583D4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5" authorId="5" shapeId="0" xr:uid="{4DF7EAEC-CD2F-EF4A-9BF0-F3F1E42E444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5" authorId="6" shapeId="0" xr:uid="{8B1BECD1-664B-894E-902F-58308D659DA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5" authorId="7" shapeId="0" xr:uid="{E0003C2A-83D2-486E-9F95-6F942D60130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5" authorId="8" shapeId="0" xr:uid="{C4A4A8D0-AF69-4FCB-8304-3233EB12794A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6" authorId="9" shapeId="0" xr:uid="{0F2B29B9-EE72-C54A-8714-498DD1A3C8E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6" authorId="10" shapeId="0" xr:uid="{3C0608B8-171F-064A-822A-A3CC6DDC9FC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6" authorId="11" shapeId="0" xr:uid="{C1E8E5BB-5C92-464C-B317-D647AD291D9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6" authorId="12" shapeId="0" xr:uid="{B67B6ED2-69EE-45C0-AC7F-50528141EB4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7" authorId="13" shapeId="0" xr:uid="{8AB12162-2BF7-9849-9318-3D6AC8CBAB8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7" authorId="14" shapeId="0" xr:uid="{D578DC42-15AA-9242-8F7A-DCCCBD7DB3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7" authorId="15" shapeId="0" xr:uid="{21FB828A-8F4B-49F5-BC35-7162AF9D019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7" authorId="16" shapeId="0" xr:uid="{4BC3115E-C00E-4DF5-8F6D-C7F2D22759E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8" authorId="17" shapeId="0" xr:uid="{28910C3F-267C-EF48-8C2C-F6C895522D8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8" authorId="18" shapeId="0" xr:uid="{E7A076DC-8E76-1148-951F-1F3AE0C081A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8" authorId="19" shapeId="0" xr:uid="{4A3BB5D2-A2F4-404E-9981-B4AC114D67D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8" authorId="20" shapeId="0" xr:uid="{B2E603BB-5962-4CD4-BBF0-09C509CEC7F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9" authorId="21" shapeId="0" xr:uid="{E68EDC32-0C11-F24F-BC92-6599E44DEE2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9" authorId="22" shapeId="0" xr:uid="{03DDDF21-1FDE-1A44-92CB-02C9D1E6768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9" authorId="23" shapeId="0" xr:uid="{61C481F3-24C5-44D2-A4EE-6F00A096C94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9" authorId="24" shapeId="0" xr:uid="{DBC8235E-71D5-47FF-8E3E-1916E90CD54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10" authorId="25" shapeId="0" xr:uid="{3F53A83B-45F2-42F2-A9B5-E8DA49791B2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10" authorId="26" shapeId="0" xr:uid="{7796FD16-CEF0-4762-99E2-2FEC910B3B1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10" authorId="27" shapeId="0" xr:uid="{EBFD2544-76F8-46EB-966B-813ED3C87C8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10" authorId="28" shapeId="0" xr:uid="{F1B6EC79-122B-49DC-B8A4-162CF7AF830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11" authorId="29" shapeId="0" xr:uid="{A3E0CE26-0E37-40C5-8381-C747D12AA79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11" authorId="30" shapeId="0" xr:uid="{2919B58E-683F-4CF6-8A4B-E8E10D4282EE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11" authorId="31" shapeId="0" xr:uid="{CA845B26-4E91-41C7-9B80-A14104B366D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11" authorId="32" shapeId="0" xr:uid="{EA2FE5D6-4F0C-4646-AE08-D0F7B9C8C8B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12" authorId="33" shapeId="0" xr:uid="{2E79ADF3-A555-45DE-A94C-CB7982584A5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12" authorId="34" shapeId="0" xr:uid="{EFA8EC15-6E5D-4B16-B46D-FA1A0144C7C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12" authorId="35" shapeId="0" xr:uid="{9119942B-138C-4E9B-896C-8017896C61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12" authorId="36" shapeId="0" xr:uid="{7EF185CA-15B4-4C91-9245-26BC21024D4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  <comment ref="J13" authorId="37" shapeId="0" xr:uid="{479DCC54-EFB5-4029-A8A1-A7B9AA4A2D7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7.5 g COD per g humic acid derived in SI, and on sheet calculating_COD in this file</t>
      </text>
    </comment>
    <comment ref="V13" authorId="38" shapeId="0" xr:uid="{1394A269-74DE-46A3-AF1E-00ED042DEDC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average of Di Lorenzo, Navel, Mermillod-Blondin</t>
      </text>
    </comment>
    <comment ref="Y13" authorId="39" shapeId="0" xr:uid="{9D71E412-A9DC-488B-91B8-61FE9E77AC3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Foulquier 2010 Relating</t>
      </text>
    </comment>
    <comment ref="AD13" authorId="40" shapeId="0" xr:uid="{4B3F8DBB-2689-47E0-BDF3-A01EAC67058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
Antwort:
    19.6.25 geändert, siehe SI</t>
      </text>
    </comment>
  </commentList>
</comments>
</file>

<file path=xl/sharedStrings.xml><?xml version="1.0" encoding="utf-8"?>
<sst xmlns="http://schemas.openxmlformats.org/spreadsheetml/2006/main" count="263" uniqueCount="198">
  <si>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</si>
  <si>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</si>
  <si>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</si>
  <si>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</si>
  <si>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</si>
  <si>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</si>
  <si>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</si>
  <si>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</si>
  <si>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</si>
  <si>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</si>
  <si>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</si>
  <si>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</si>
  <si>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</si>
  <si>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</si>
  <si>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</si>
  <si>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</si>
  <si>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</si>
  <si>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</si>
  <si>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</si>
  <si>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</si>
  <si>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</si>
  <si>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</si>
  <si>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</si>
  <si>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</si>
  <si>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</si>
  <si>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</si>
  <si>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</si>
  <si>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</si>
  <si>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</si>
  <si>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</si>
  <si>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</si>
  <si>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</si>
  <si>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</si>
  <si>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</si>
  <si>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</si>
  <si>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</si>
  <si>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</si>
  <si>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</si>
  <si>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</si>
  <si>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</si>
  <si>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</si>
  <si>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</si>
  <si>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</si>
  <si>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</si>
  <si>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</si>
  <si>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</si>
  <si>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</si>
  <si>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</si>
  <si>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</si>
  <si>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</si>
  <si>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</si>
  <si>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</si>
  <si>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</si>
  <si>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</si>
  <si>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</si>
  <si>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</si>
  <si>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</si>
  <si>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</si>
  <si>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</si>
  <si>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</si>
  <si>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</si>
  <si>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</si>
  <si>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</si>
  <si>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</si>
  <si>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</si>
  <si>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</si>
  <si>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</si>
  <si>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</si>
  <si>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</si>
  <si>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</si>
  <si>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</si>
  <si>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</si>
  <si>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</si>
  <si>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</si>
  <si>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</si>
  <si>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</si>
  <si>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</si>
  <si>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</si>
  <si>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</si>
  <si>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</si>
  <si>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</si>
  <si>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</si>
  <si>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</si>
  <si>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</si>
  <si>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</si>
  <si>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</si>
  <si>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</si>
  <si>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</si>
  <si>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</si>
  <si>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</si>
  <si>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</si>
  <si>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</si>
  <si>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</si>
  <si>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</si>
  <si>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</si>
  <si>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</si>
  <si>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</si>
  <si>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</si>
  <si>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</si>
  <si>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</si>
  <si>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</si>
  <si>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</si>
  <si>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</si>
  <si>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</si>
  <si>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</si>
  <si>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</si>
  <si>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</si>
  <si>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</si>
  <si>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</si>
  <si>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</si>
  <si>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</si>
  <si>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</si>
  <si>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</si>
  <si>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</si>
  <si>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</si>
  <si>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</si>
  <si>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</si>
  <si>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</si>
  <si>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</si>
  <si>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</si>
  <si>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</si>
  <si>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</si>
  <si>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</si>
  <si>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</si>
  <si>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</si>
  <si>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</si>
  <si>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</si>
  <si>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</si>
  <si>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</si>
  <si>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</si>
  <si>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</si>
  <si>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</si>
  <si>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</si>
  <si>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</si>
  <si>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</si>
  <si>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</si>
  <si>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</si>
  <si>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</si>
  <si>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</si>
  <si>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</si>
  <si>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</si>
  <si>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</si>
  <si>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</si>
  <si>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</si>
  <si>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</si>
  <si>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</si>
  <si>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</si>
  <si>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</si>
  <si>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</si>
  <si>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</si>
  <si>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</si>
  <si>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</si>
  <si>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</si>
  <si>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</si>
  <si>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</si>
  <si>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</si>
  <si>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</si>
  <si>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</si>
  <si>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</si>
  <si>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</si>
  <si>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</si>
  <si>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</si>
  <si>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</si>
  <si>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</si>
  <si>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</si>
  <si>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</si>
  <si>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</si>
  <si>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</si>
  <si>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</si>
  <si>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</si>
  <si>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</si>
  <si>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</si>
  <si>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</si>
  <si>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</si>
  <si>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</si>
  <si>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</si>
  <si>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</si>
  <si>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</si>
  <si>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</si>
  <si>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</si>
  <si>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</si>
  <si>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</si>
  <si>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</si>
  <si>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</si>
  <si>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</si>
  <si>
    <t>rate constant per hour for bacterial uptake and oxidation of acetate Gerritse et al. (1992), assuming COD can be degraded like acetate, which is an error-prone assumption</t>
  </si>
  <si>
    <t>Alternatively , 0.1 as in Lindeman. Thats dry mass already.</t>
  </si>
  <si>
    <t>COD difference in BOC between reference and no fauna in the mixing zone "M" zone after 3.5 years,</t>
  </si>
  <si>
    <t>"   no fauna</t>
  </si>
  <si>
    <t>1.5° increase in temperature</t>
  </si>
  <si>
    <t xml:space="preserve">   " no fauna</t>
  </si>
  <si>
    <t>3° increase in temperature</t>
  </si>
  <si>
    <t>reference (ref.)</t>
  </si>
  <si>
    <t>ref., lowest k1</t>
  </si>
  <si>
    <t>ref., highest k1</t>
  </si>
  <si>
    <t>ref., lowest yield</t>
  </si>
  <si>
    <t>ref., highest yield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</si>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</sst>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19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165" fontId="5" fillId="0" borderId="0" xfId="0" applyNumberFormat="1" applyFont="1"/>
    <xf numFmtId="2" fontId="5" fillId="0" borderId="0" xfId="0" applyNumberFormat="1" applyFo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V4" dT="2025-06-15T11:12:50.61" personId="{FE8B650B-F8E4-BC41-8B83-E1DC95C47930}" id="{A973AB73-A4B2-DB42-8CE2-2E9D2BA6D327}">
    <text>average of Di Lorenzo, Navel, Mermillod-Blondin</text>
  </threadedComment>
  <threadedComment ref="Y4" dT="2025-06-07T18:46:12.83" personId="{FE8B650B-F8E4-BC41-8B83-E1DC95C47930}" id="{B2EEDDFE-EFB6-B841-B3B1-49218DCB8340}">
    <text>Foulquier 2010 Relating</text>
  </threadedComment>
  <threadedComment ref="AD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V5" dT="2025-06-15T11:12:50.61" personId="{FE8B650B-F8E4-BC41-8B83-E1DC95C47930}" id="{8B1BECD1-664B-894E-902F-58308D659DA9}">
    <text>average of Di Lorenzo, Navel, Mermillod-Blondin</text>
  </threadedComment>
  <threadedComment ref="Y5" dT="2025-06-07T18:46:12.83" personId="{FE8B650B-F8E4-BC41-8B83-E1DC95C47930}" id="{B2EEDDFE-EFB6-B842-B3B1-49218DCB8340}">
    <text>Foulquier 2010 Relating</text>
  </threadedComment>
  <threadedComment ref="AD5" dT="2025-06-15T10:42:48.50" personId="{FE8B650B-F8E4-BC41-8B83-E1DC95C47930}" id="{D83D8722-287D-8544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5" dT="2025-06-20T08:24:23.10" personId="{FE8B650B-F8E4-BC41-8B83-E1DC95C47930}" id="{D5A6F296-99E3-944E-9E17-1BB8F5BD2616}" parentId="{D83D8722-287D-8544-91DC-DFD968583D4B}">
    <text>19.6.25 geändert, siehe SI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V6" dT="2025-06-15T11:12:50.61" personId="{FE8B650B-F8E4-BC41-8B83-E1DC95C47930}" id="{3C0608B8-171F-064A-822A-A3CC6DDC9FC4}">
    <text>average of Di Lorenzo, Navel, Mermillod-Blondin</text>
  </threadedComment>
  <threadedComment ref="Y6" dT="2025-06-07T18:46:12.83" personId="{FE8B650B-F8E4-BC41-8B83-E1DC95C47930}" id="{B2EEDDFE-EFB6-B843-B3B1-49218DCB8340}">
    <text>Foulquier 2010 Relating</text>
  </threadedComment>
  <threadedComment ref="AD6" dT="2025-06-15T10:42:48.50" personId="{FE8B650B-F8E4-BC41-8B83-E1DC95C47930}" id="{D83D8722-287D-8545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6" dT="2025-06-20T08:24:23.10" personId="{FE8B650B-F8E4-BC41-8B83-E1DC95C47930}" id="{D5A6F296-99E3-944F-9E17-1BB8F5BD2616}" parentId="{D83D8722-287D-8545-91DC-DFD968583D4B}">
    <text>19.6.25 geändert, siehe SI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V7" dT="2025-06-15T11:12:50.61" personId="{FE8B650B-F8E4-BC41-8B83-E1DC95C47930}" id="{D578DC42-15AA-9242-8F7A-DCCCBD7DB327}">
    <text>average of Di Lorenzo, Navel, Mermillod-Blondin</text>
  </threadedComment>
  <threadedComment ref="Y7" dT="2025-06-07T18:46:12.83" personId="{FE8B650B-F8E4-BC41-8B83-E1DC95C47930}" id="{B2EEDDFE-EFB6-B844-B3B1-49218DCB8340}">
    <text>Foulquier 2010 Relating</text>
  </threadedComment>
  <threadedComment ref="AD7" dT="2025-06-15T10:42:48.50" personId="{FE8B650B-F8E4-BC41-8B83-E1DC95C47930}" id="{D83D8722-287D-8546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7" dT="2025-06-20T08:24:23.10" personId="{FE8B650B-F8E4-BC41-8B83-E1DC95C47930}" id="{D5A6F296-99E3-9450-9E17-1BB8F5BD2616}" parentId="{D83D8722-287D-8546-91DC-DFD968583D4B}">
    <text>19.6.25 geändert, siehe SI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V8" dT="2025-06-15T11:12:50.61" personId="{FE8B650B-F8E4-BC41-8B83-E1DC95C47930}" id="{E7A076DC-8E76-1148-951F-1F3AE0C081A3}">
    <text>average of Di Lorenzo, Navel, Mermillod-Blondin</text>
  </threadedComment>
  <threadedComment ref="Y8" dT="2025-06-07T18:46:12.83" personId="{FE8B650B-F8E4-BC41-8B83-E1DC95C47930}" id="{B2EEDDFE-EFB6-B845-B3B1-49218DCB8340}">
    <text>Foulquier 2010 Relating</text>
  </threadedComment>
  <threadedComment ref="AD8" dT="2025-06-15T10:42:48.50" personId="{FE8B650B-F8E4-BC41-8B83-E1DC95C47930}" id="{D83D8722-287D-8547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8" dT="2025-06-20T08:24:23.10" personId="{FE8B650B-F8E4-BC41-8B83-E1DC95C47930}" id="{D5A6F296-99E3-9451-9E17-1BB8F5BD2616}" parentId="{D83D8722-287D-8547-91DC-DFD968583D4B}">
    <text>19.6.25 geändert, siehe SI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V9" dT="2025-06-15T11:12:50.61" personId="{FE8B650B-F8E4-BC41-8B83-E1DC95C47930}" id="{03DDDF21-1FDE-1A44-92CB-02C9D1E67681}">
    <text>average of Di Lorenzo, Navel, Mermillod-Blondin</text>
  </threadedComment>
  <threadedComment ref="Y9" dT="2025-06-07T18:46:12.83" personId="{FE8B650B-F8E4-BC41-8B83-E1DC95C47930}" id="{B2EEDDFE-EFB6-B846-B3B1-49218DCB8340}">
    <text>Foulquier 2010 Relating</text>
  </threadedComment>
  <threadedComment ref="AD9" dT="2025-06-15T10:42:48.50" personId="{FE8B650B-F8E4-BC41-8B83-E1DC95C47930}" id="{D83D8722-287D-8548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9" dT="2025-06-20T08:24:23.10" personId="{FE8B650B-F8E4-BC41-8B83-E1DC95C47930}" id="{D5A6F296-99E3-9452-9E17-1BB8F5BD2616}" parentId="{D83D8722-287D-8548-91DC-DFD968583D4B}">
    <text>19.6.25 geändert, siehe SI</text>
  </threadedComment>
  <threadedComment ref="J10" dT="2025-06-02T13:55:05.15" personId="{FE8B650B-F8E4-BC41-8B83-E1DC95C47930}" id="{E68EDC32-0C11-F250-BC92-6599E44DEE2B}">
    <text>7.5 g COD per g humic acid derived in SI, and on sheet calculating_COD in this file</text>
  </threadedComment>
  <threadedComment ref="V10" dT="2025-06-15T11:12:50.61" personId="{FE8B650B-F8E4-BC41-8B83-E1DC95C47930}" id="{03DDDF21-1FDE-1A45-92CB-02C9D1E67681}">
    <text>average of Di Lorenzo, Navel, Mermillod-Blondin</text>
  </threadedComment>
  <threadedComment ref="Y10" dT="2025-06-07T18:46:12.83" personId="{FE8B650B-F8E4-BC41-8B83-E1DC95C47930}" id="{B2EEDDFE-EFB6-B847-B3B1-49218DCB8340}">
    <text>Foulquier 2010 Relating</text>
  </threadedComment>
  <threadedComment ref="AD10" dT="2025-06-15T10:42:48.50" personId="{FE8B650B-F8E4-BC41-8B83-E1DC95C47930}" id="{D83D8722-287D-8549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10" dT="2025-06-20T08:24:23.10" personId="{FE8B650B-F8E4-BC41-8B83-E1DC95C47930}" id="{D5A6F296-99E3-9453-9E17-1BB8F5BD2616}" parentId="{D83D8722-287D-8549-91DC-DFD968583D4B}">
    <text>19.6.25 geändert, siehe SI</text>
  </threadedComment>
  <threadedComment ref="J11" dT="2025-06-02T13:55:05.15" personId="{FE8B650B-F8E4-BC41-8B83-E1DC95C47930}" id="{E68EDC32-0C11-F251-BC92-6599E44DEE2B}">
    <text>7.5 g COD per g humic acid derived in SI, and on sheet calculating_COD in this file</text>
  </threadedComment>
  <threadedComment ref="V11" dT="2025-06-15T11:12:50.61" personId="{FE8B650B-F8E4-BC41-8B83-E1DC95C47930}" id="{03DDDF21-1FDE-1A46-92CB-02C9D1E67681}">
    <text>average of Di Lorenzo, Navel, Mermillod-Blondin</text>
  </threadedComment>
  <threadedComment ref="Y11" dT="2025-06-07T18:46:12.83" personId="{FE8B650B-F8E4-BC41-8B83-E1DC95C47930}" id="{B2EEDDFE-EFB6-B848-B3B1-49218DCB8340}">
    <text>Foulquier 2010 Relating</text>
  </threadedComment>
  <threadedComment ref="AD11" dT="2025-06-15T10:42:48.50" personId="{FE8B650B-F8E4-BC41-8B83-E1DC95C47930}" id="{D83D8722-287D-854A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11" dT="2025-06-20T08:24:23.10" personId="{FE8B650B-F8E4-BC41-8B83-E1DC95C47930}" id="{D5A6F296-99E3-9454-9E17-1BB8F5BD2616}" parentId="{D83D8722-287D-854A-91DC-DFD968583D4B}">
    <text>19.6.25 geändert, siehe SI</text>
  </threadedComment>
  <threadedComment ref="J12" dT="2025-06-02T13:55:05.15" personId="{FE8B650B-F8E4-BC41-8B83-E1DC95C47930}" id="{E68EDC32-0C11-F252-BC92-6599E44DEE2B}">
    <text>7.5 g COD per g humic acid derived in SI, and on sheet calculating_COD in this file</text>
  </threadedComment>
  <threadedComment ref="V12" dT="2025-06-15T11:12:50.61" personId="{FE8B650B-F8E4-BC41-8B83-E1DC95C47930}" id="{03DDDF21-1FDE-1A47-92CB-02C9D1E67681}">
    <text>average of Di Lorenzo, Navel, Mermillod-Blondin</text>
  </threadedComment>
  <threadedComment ref="Y12" dT="2025-06-07T18:46:12.83" personId="{FE8B650B-F8E4-BC41-8B83-E1DC95C47930}" id="{B2EEDDFE-EFB6-B849-B3B1-49218DCB8340}">
    <text>Foulquier 2010 Relating</text>
  </threadedComment>
  <threadedComment ref="AD12" dT="2025-06-15T10:42:48.50" personId="{FE8B650B-F8E4-BC41-8B83-E1DC95C47930}" id="{D83D8722-287D-854B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12" dT="2025-06-20T08:24:23.10" personId="{FE8B650B-F8E4-BC41-8B83-E1DC95C47930}" id="{D5A6F296-99E3-9455-9E17-1BB8F5BD2616}" parentId="{D83D8722-287D-854B-91DC-DFD968583D4B}">
    <text>19.6.25 geändert, siehe SI</text>
  </threadedComment>
  <threadedComment ref="J13" dT="2025-06-02T13:55:05.15" personId="{FE8B650B-F8E4-BC41-8B83-E1DC95C47930}" id="{E68EDC32-0C11-F253-BC92-6599E44DEE2B}">
    <text>7.5 g COD per g humic acid derived in SI, and on sheet calculating_COD in this file</text>
  </threadedComment>
  <threadedComment ref="V13" dT="2025-06-15T11:12:50.61" personId="{FE8B650B-F8E4-BC41-8B83-E1DC95C47930}" id="{03DDDF21-1FDE-1A48-92CB-02C9D1E67681}">
    <text>average of Di Lorenzo, Navel, Mermillod-Blondin</text>
  </threadedComment>
  <threadedComment ref="Y13" dT="2025-06-07T18:46:12.83" personId="{FE8B650B-F8E4-BC41-8B83-E1DC95C47930}" id="{B2EEDDFE-EFB6-B84A-B3B1-49218DCB8340}">
    <text>Foulquier 2010 Relating</text>
  </threadedComment>
  <threadedComment ref="AD13" dT="2025-06-15T10:42:48.50" personId="{FE8B650B-F8E4-BC41-8B83-E1DC95C47930}" id="{D83D8722-287D-854C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D13" dT="2025-06-20T08:24:23.10" personId="{FE8B650B-F8E4-BC41-8B83-E1DC95C47930}" id="{D5A6F296-99E3-9456-9E17-1BB8F5BD2616}" parentId="{D83D8722-287D-854C-91DC-DFD968583D4B}">
    <text>19.6.25 geändert, siehe SI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I15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3" sqref="A3"/>
    </sheetView>
  </sheetViews>
  <sheetFormatPr baseColWidth="10" defaultColWidth="10.6640625" defaultRowHeight="16"/>
  <cols>
    <col min="1" max="1" width="24.6640625" bestFit="1" customWidth="1"/>
    <col min="10" max="10" width="11.1640625" bestFit="1" customWidth="1"/>
    <col min="11" max="11" width="11.1640625" customWidth="1"/>
    <col min="13" max="13" width="11.1640625" bestFit="1" customWidth="1"/>
    <col min="21" max="22" width="12.1640625" bestFit="1" customWidth="1"/>
    <col min="30" max="30" width="15.33203125" bestFit="1" customWidth="1"/>
    <col min="32" max="32" width="12.1640625" bestFit="1" customWidth="1"/>
  </cols>
  <sheetData>
    <row r="1" spans="1:35">
      <c r="A1" t="s">
        <v>2</v>
      </c>
      <c r="C1" t="s">
        <v>29</v>
      </c>
      <c r="E1" t="s">
        <v>47</v>
      </c>
      <c r="F1" t="s">
        <v>176</v>
      </c>
      <c r="G1" t="s">
        <v>182</v>
      </c>
      <c r="H1" t="s">
        <v>177</v>
      </c>
      <c r="L1" t="s">
        <v>178</v>
      </c>
      <c r="M1" t="s">
        <v>45</v>
      </c>
      <c r="N1" t="s">
        <v>174</v>
      </c>
      <c r="O1" t="s">
        <v>5</v>
      </c>
      <c r="S1" t="s">
        <v>17</v>
      </c>
      <c r="T1" t="s">
        <v>173</v>
      </c>
      <c r="W1" t="s">
        <v>185</v>
      </c>
      <c r="Y1" t="s">
        <v>186</v>
      </c>
      <c r="Z1" t="s">
        <v>180</v>
      </c>
      <c r="AA1" t="s">
        <v>175</v>
      </c>
      <c r="AD1" t="s">
        <v>183</v>
      </c>
      <c r="AE1" t="s">
        <v>179</v>
      </c>
      <c r="AG1" t="s">
        <v>181</v>
      </c>
      <c r="AI1" t="s">
        <v>184</v>
      </c>
    </row>
    <row r="2" spans="1:35">
      <c r="A2" t="s">
        <v>0</v>
      </c>
      <c r="C2" t="s">
        <v>3</v>
      </c>
      <c r="F2" t="s">
        <v>41</v>
      </c>
      <c r="N2" t="s">
        <v>24</v>
      </c>
      <c r="O2" t="s">
        <v>8</v>
      </c>
      <c r="S2" t="s">
        <v>18</v>
      </c>
      <c r="AB2" t="s">
        <v>10</v>
      </c>
      <c r="AE2" t="s">
        <v>26</v>
      </c>
    </row>
    <row r="3" spans="1:35">
      <c r="A3" t="s">
        <v>197</v>
      </c>
      <c r="B3" t="s">
        <v>7</v>
      </c>
      <c r="C3" t="s">
        <v>4</v>
      </c>
      <c r="D3" s="19" t="s">
        <v>139</v>
      </c>
      <c r="E3" t="s">
        <v>46</v>
      </c>
      <c r="F3" t="s">
        <v>40</v>
      </c>
      <c r="G3" t="s">
        <v>172</v>
      </c>
      <c r="H3" t="s">
        <v>27</v>
      </c>
      <c r="I3" t="s">
        <v>75</v>
      </c>
      <c r="J3" t="s">
        <v>42</v>
      </c>
      <c r="K3" t="s">
        <v>74</v>
      </c>
      <c r="L3" t="s">
        <v>28</v>
      </c>
      <c r="M3" t="s">
        <v>43</v>
      </c>
      <c r="N3" t="s">
        <v>23</v>
      </c>
      <c r="O3" t="s">
        <v>6</v>
      </c>
      <c r="P3" t="s">
        <v>12</v>
      </c>
      <c r="Q3" t="s">
        <v>9</v>
      </c>
      <c r="R3" t="s">
        <v>51</v>
      </c>
      <c r="S3" t="s">
        <v>16</v>
      </c>
      <c r="T3" t="s">
        <v>15</v>
      </c>
      <c r="U3" t="s">
        <v>19</v>
      </c>
      <c r="V3" t="s">
        <v>20</v>
      </c>
      <c r="W3" t="s">
        <v>44</v>
      </c>
      <c r="X3" t="s">
        <v>21</v>
      </c>
      <c r="Y3" t="s">
        <v>30</v>
      </c>
      <c r="Z3" t="s">
        <v>49</v>
      </c>
      <c r="AA3" t="s">
        <v>54</v>
      </c>
      <c r="AB3" t="s">
        <v>11</v>
      </c>
      <c r="AC3" t="s">
        <v>14</v>
      </c>
      <c r="AD3" t="s">
        <v>22</v>
      </c>
      <c r="AE3" t="s">
        <v>25</v>
      </c>
      <c r="AF3" t="s">
        <v>13</v>
      </c>
      <c r="AG3" t="s">
        <v>50</v>
      </c>
      <c r="AH3" t="s">
        <v>52</v>
      </c>
      <c r="AI3" t="s">
        <v>87</v>
      </c>
    </row>
    <row r="4" spans="1:35">
      <c r="A4" t="s">
        <v>192</v>
      </c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0.08</v>
      </c>
      <c r="H4">
        <f t="shared" ref="H4:H13" si="1">203.5/1000</f>
        <v>0.20349999999999999</v>
      </c>
      <c r="I4">
        <f t="shared" ref="I4:I11" si="2"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48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>
        <f>W4 *24</f>
        <v>10.32</v>
      </c>
      <c r="Y4">
        <v>0.06</v>
      </c>
      <c r="Z4">
        <v>1</v>
      </c>
      <c r="AA4">
        <v>1E-4</v>
      </c>
      <c r="AB4">
        <v>1</v>
      </c>
      <c r="AC4">
        <v>0</v>
      </c>
      <c r="AD4" s="22">
        <f>X4/100</f>
        <v>0.1032</v>
      </c>
      <c r="AE4">
        <f>0.0001</f>
        <v>1E-4</v>
      </c>
      <c r="AF4">
        <f>0.0001</f>
        <v>1E-4</v>
      </c>
      <c r="AG4">
        <v>1</v>
      </c>
      <c r="AH4" t="s">
        <v>48</v>
      </c>
      <c r="AI4">
        <v>9.375E-2</v>
      </c>
    </row>
    <row r="5" spans="1:35">
      <c r="A5" t="s">
        <v>188</v>
      </c>
      <c r="B5">
        <v>2</v>
      </c>
      <c r="C5">
        <v>1</v>
      </c>
      <c r="E5">
        <v>0</v>
      </c>
      <c r="F5">
        <f t="shared" si="0"/>
        <v>1419.5</v>
      </c>
      <c r="G5">
        <v>0.08</v>
      </c>
      <c r="H5">
        <f t="shared" si="1"/>
        <v>0.20349999999999999</v>
      </c>
      <c r="I5">
        <f t="shared" si="2"/>
        <v>0.14336033814723495</v>
      </c>
      <c r="J5">
        <f t="shared" ref="J5:J9" si="3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48</v>
      </c>
      <c r="S5">
        <v>30</v>
      </c>
      <c r="T5">
        <f t="shared" ref="T5:T9" si="4">10.6/12*1.07/2</f>
        <v>0.47258333333333336</v>
      </c>
      <c r="U5">
        <f>4.3 /1000000 *1.07</f>
        <v>4.6009999999999997E-6</v>
      </c>
      <c r="V5">
        <f t="shared" ref="V5:V13" si="5">0.00000058</f>
        <v>5.7999999999999995E-7</v>
      </c>
      <c r="W5">
        <v>0.43</v>
      </c>
      <c r="X5">
        <f t="shared" ref="X5:X11" si="6">W5 *24</f>
        <v>10.32</v>
      </c>
      <c r="Y5">
        <v>0.06</v>
      </c>
      <c r="Z5">
        <v>1</v>
      </c>
      <c r="AA5">
        <v>1E-4</v>
      </c>
      <c r="AB5" s="21">
        <v>0</v>
      </c>
      <c r="AC5">
        <v>0</v>
      </c>
      <c r="AD5" s="22">
        <f t="shared" ref="AD5:AD13" si="7">X5/100</f>
        <v>0.1032</v>
      </c>
      <c r="AE5">
        <f t="shared" ref="AE5:AF13" si="8">0.0001</f>
        <v>1E-4</v>
      </c>
      <c r="AF5">
        <f t="shared" si="8"/>
        <v>1E-4</v>
      </c>
      <c r="AG5">
        <v>1</v>
      </c>
      <c r="AH5" t="s">
        <v>48</v>
      </c>
      <c r="AI5">
        <v>9.375E-2</v>
      </c>
    </row>
    <row r="6" spans="1:35">
      <c r="A6" t="s">
        <v>189</v>
      </c>
      <c r="B6">
        <v>3</v>
      </c>
      <c r="C6">
        <v>1</v>
      </c>
      <c r="E6" s="21">
        <v>1.5</v>
      </c>
      <c r="F6">
        <f t="shared" si="0"/>
        <v>1419.5</v>
      </c>
      <c r="G6">
        <v>0.08</v>
      </c>
      <c r="H6">
        <f t="shared" si="1"/>
        <v>0.20349999999999999</v>
      </c>
      <c r="I6">
        <f t="shared" si="2"/>
        <v>0.14336033814723495</v>
      </c>
      <c r="J6">
        <f t="shared" si="3"/>
        <v>1.0752025361042621</v>
      </c>
      <c r="K6">
        <f t="shared" ref="K6:K9" si="9">J6/1000</f>
        <v>1.075202536104262E-3</v>
      </c>
      <c r="L6" s="4">
        <v>10</v>
      </c>
      <c r="M6">
        <f t="shared" ref="M6" si="10">L6*J6</f>
        <v>10.752025361042621</v>
      </c>
      <c r="N6">
        <v>1E-4</v>
      </c>
      <c r="O6">
        <v>10</v>
      </c>
      <c r="P6">
        <v>1</v>
      </c>
      <c r="Q6">
        <v>0</v>
      </c>
      <c r="R6" t="s">
        <v>48</v>
      </c>
      <c r="S6">
        <v>30</v>
      </c>
      <c r="T6">
        <f t="shared" si="4"/>
        <v>0.47258333333333336</v>
      </c>
      <c r="U6">
        <f t="shared" ref="U6:U9" si="11">4.3 /1000000 *1.07</f>
        <v>4.6009999999999997E-6</v>
      </c>
      <c r="V6">
        <f t="shared" si="5"/>
        <v>5.7999999999999995E-7</v>
      </c>
      <c r="W6">
        <v>0.43</v>
      </c>
      <c r="X6">
        <f t="shared" si="6"/>
        <v>10.32</v>
      </c>
      <c r="Y6">
        <v>0.06</v>
      </c>
      <c r="Z6">
        <v>1</v>
      </c>
      <c r="AA6">
        <v>1E-4</v>
      </c>
      <c r="AB6">
        <v>1</v>
      </c>
      <c r="AC6">
        <v>0</v>
      </c>
      <c r="AD6" s="22">
        <f t="shared" si="7"/>
        <v>0.1032</v>
      </c>
      <c r="AE6">
        <f t="shared" si="8"/>
        <v>1E-4</v>
      </c>
      <c r="AF6">
        <f t="shared" si="8"/>
        <v>1E-4</v>
      </c>
      <c r="AG6">
        <v>1</v>
      </c>
      <c r="AH6" t="s">
        <v>48</v>
      </c>
      <c r="AI6">
        <v>9.375E-2</v>
      </c>
    </row>
    <row r="7" spans="1:35">
      <c r="A7" t="s">
        <v>190</v>
      </c>
      <c r="B7">
        <v>4</v>
      </c>
      <c r="C7">
        <v>1</v>
      </c>
      <c r="E7" s="21">
        <v>1.5</v>
      </c>
      <c r="F7">
        <f t="shared" si="0"/>
        <v>1419.5</v>
      </c>
      <c r="G7">
        <v>0.08</v>
      </c>
      <c r="H7">
        <f t="shared" si="1"/>
        <v>0.20349999999999999</v>
      </c>
      <c r="I7">
        <f t="shared" si="2"/>
        <v>0.14336033814723495</v>
      </c>
      <c r="J7">
        <f t="shared" si="3"/>
        <v>1.0752025361042621</v>
      </c>
      <c r="K7">
        <f t="shared" si="9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48</v>
      </c>
      <c r="S7">
        <v>30</v>
      </c>
      <c r="T7">
        <f t="shared" si="4"/>
        <v>0.47258333333333336</v>
      </c>
      <c r="U7">
        <f t="shared" si="11"/>
        <v>4.6009999999999997E-6</v>
      </c>
      <c r="V7">
        <f t="shared" si="5"/>
        <v>5.7999999999999995E-7</v>
      </c>
      <c r="W7">
        <v>0.43</v>
      </c>
      <c r="X7">
        <f t="shared" si="6"/>
        <v>10.32</v>
      </c>
      <c r="Y7">
        <v>0.06</v>
      </c>
      <c r="Z7">
        <v>1</v>
      </c>
      <c r="AA7">
        <v>1E-4</v>
      </c>
      <c r="AB7" s="21">
        <v>0</v>
      </c>
      <c r="AC7">
        <v>0</v>
      </c>
      <c r="AD7" s="22">
        <f t="shared" si="7"/>
        <v>0.1032</v>
      </c>
      <c r="AE7">
        <f t="shared" si="8"/>
        <v>1E-4</v>
      </c>
      <c r="AF7">
        <f t="shared" si="8"/>
        <v>1E-4</v>
      </c>
      <c r="AG7">
        <v>1</v>
      </c>
      <c r="AH7" t="s">
        <v>48</v>
      </c>
      <c r="AI7">
        <v>9.375E-2</v>
      </c>
    </row>
    <row r="8" spans="1:35">
      <c r="A8" t="s">
        <v>191</v>
      </c>
      <c r="B8">
        <v>5</v>
      </c>
      <c r="C8">
        <v>1</v>
      </c>
      <c r="E8" s="21">
        <v>3</v>
      </c>
      <c r="F8">
        <f t="shared" si="0"/>
        <v>1419.5</v>
      </c>
      <c r="G8">
        <v>0.08</v>
      </c>
      <c r="H8">
        <f t="shared" si="1"/>
        <v>0.20349999999999999</v>
      </c>
      <c r="I8">
        <f t="shared" si="2"/>
        <v>0.14336033814723495</v>
      </c>
      <c r="J8">
        <f t="shared" si="3"/>
        <v>1.0752025361042621</v>
      </c>
      <c r="K8">
        <f t="shared" si="9"/>
        <v>1.075202536104262E-3</v>
      </c>
      <c r="L8" s="4">
        <v>10</v>
      </c>
      <c r="M8">
        <f t="shared" ref="M8" si="12">L8*J8</f>
        <v>10.752025361042621</v>
      </c>
      <c r="N8">
        <v>1E-4</v>
      </c>
      <c r="O8">
        <v>10</v>
      </c>
      <c r="P8">
        <v>1</v>
      </c>
      <c r="Q8">
        <v>0</v>
      </c>
      <c r="R8" t="s">
        <v>48</v>
      </c>
      <c r="S8">
        <v>30</v>
      </c>
      <c r="T8">
        <f t="shared" si="4"/>
        <v>0.47258333333333336</v>
      </c>
      <c r="U8">
        <f t="shared" si="11"/>
        <v>4.6009999999999997E-6</v>
      </c>
      <c r="V8">
        <f t="shared" si="5"/>
        <v>5.7999999999999995E-7</v>
      </c>
      <c r="W8">
        <v>0.43</v>
      </c>
      <c r="X8">
        <f t="shared" si="6"/>
        <v>10.32</v>
      </c>
      <c r="Y8">
        <v>0.06</v>
      </c>
      <c r="Z8">
        <v>1</v>
      </c>
      <c r="AA8">
        <v>1E-4</v>
      </c>
      <c r="AB8">
        <v>1</v>
      </c>
      <c r="AC8">
        <v>0</v>
      </c>
      <c r="AD8" s="22">
        <f t="shared" si="7"/>
        <v>0.1032</v>
      </c>
      <c r="AE8">
        <f t="shared" si="8"/>
        <v>1E-4</v>
      </c>
      <c r="AF8">
        <f t="shared" si="8"/>
        <v>1E-4</v>
      </c>
      <c r="AG8">
        <v>1</v>
      </c>
      <c r="AH8" t="s">
        <v>48</v>
      </c>
      <c r="AI8">
        <v>9.375E-2</v>
      </c>
    </row>
    <row r="9" spans="1:35">
      <c r="A9" t="s">
        <v>190</v>
      </c>
      <c r="B9">
        <v>6</v>
      </c>
      <c r="C9">
        <v>1</v>
      </c>
      <c r="E9" s="21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 t="shared" si="2"/>
        <v>0.14336033814723495</v>
      </c>
      <c r="J9">
        <f t="shared" si="3"/>
        <v>1.0752025361042621</v>
      </c>
      <c r="K9">
        <f t="shared" si="9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48</v>
      </c>
      <c r="S9">
        <v>30</v>
      </c>
      <c r="T9">
        <f t="shared" si="4"/>
        <v>0.47258333333333336</v>
      </c>
      <c r="U9">
        <f t="shared" si="11"/>
        <v>4.6009999999999997E-6</v>
      </c>
      <c r="V9">
        <f t="shared" si="5"/>
        <v>5.7999999999999995E-7</v>
      </c>
      <c r="W9">
        <v>0.43</v>
      </c>
      <c r="X9">
        <f t="shared" si="6"/>
        <v>10.32</v>
      </c>
      <c r="Y9">
        <v>0.06</v>
      </c>
      <c r="Z9">
        <v>1</v>
      </c>
      <c r="AA9">
        <v>1E-4</v>
      </c>
      <c r="AB9" s="21">
        <v>0</v>
      </c>
      <c r="AC9">
        <v>0</v>
      </c>
      <c r="AD9" s="22">
        <f t="shared" si="7"/>
        <v>0.1032</v>
      </c>
      <c r="AE9">
        <f t="shared" si="8"/>
        <v>1E-4</v>
      </c>
      <c r="AF9">
        <f t="shared" si="8"/>
        <v>1E-4</v>
      </c>
      <c r="AG9">
        <v>1</v>
      </c>
      <c r="AH9" t="s">
        <v>48</v>
      </c>
      <c r="AI9">
        <v>9.375E-2</v>
      </c>
    </row>
    <row r="10" spans="1:35">
      <c r="A10" t="s">
        <v>193</v>
      </c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 t="shared" si="2"/>
        <v>0.14336033814723495</v>
      </c>
      <c r="J10">
        <f t="shared" ref="J10:J11" si="13">I10*7.5</f>
        <v>1.0752025361042621</v>
      </c>
      <c r="K10">
        <f t="shared" ref="K10:K11" si="14">J10/1000</f>
        <v>1.075202536104262E-3</v>
      </c>
      <c r="L10" s="4">
        <v>10</v>
      </c>
      <c r="M10">
        <f>L10*J10</f>
        <v>10.752025361042621</v>
      </c>
      <c r="N10" s="21">
        <v>9.9999999999999995E-7</v>
      </c>
      <c r="O10">
        <v>10</v>
      </c>
      <c r="P10">
        <v>1</v>
      </c>
      <c r="Q10">
        <v>0</v>
      </c>
      <c r="R10" t="s">
        <v>48</v>
      </c>
      <c r="S10">
        <v>30</v>
      </c>
      <c r="T10">
        <f t="shared" ref="T10:T11" si="15">10.6/12*1.07/2</f>
        <v>0.47258333333333336</v>
      </c>
      <c r="U10">
        <f t="shared" ref="U10:U13" si="16">4.3 /1000000 *1.07</f>
        <v>4.6009999999999997E-6</v>
      </c>
      <c r="V10">
        <f t="shared" si="5"/>
        <v>5.7999999999999995E-7</v>
      </c>
      <c r="W10">
        <v>0.43</v>
      </c>
      <c r="X10">
        <f t="shared" si="6"/>
        <v>10.32</v>
      </c>
      <c r="Y10">
        <v>0.06</v>
      </c>
      <c r="Z10">
        <v>1</v>
      </c>
      <c r="AA10">
        <v>1E-4</v>
      </c>
      <c r="AB10">
        <v>1</v>
      </c>
      <c r="AC10">
        <v>0</v>
      </c>
      <c r="AD10" s="22">
        <f t="shared" si="7"/>
        <v>0.1032</v>
      </c>
      <c r="AE10">
        <f t="shared" si="8"/>
        <v>1E-4</v>
      </c>
      <c r="AF10">
        <f t="shared" si="8"/>
        <v>1E-4</v>
      </c>
      <c r="AG10">
        <v>1</v>
      </c>
      <c r="AH10" t="s">
        <v>48</v>
      </c>
      <c r="AI10">
        <v>9.375E-2</v>
      </c>
    </row>
    <row r="11" spans="1:35">
      <c r="A11" t="s">
        <v>194</v>
      </c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 t="shared" si="2"/>
        <v>0.14336033814723495</v>
      </c>
      <c r="J11">
        <f t="shared" si="13"/>
        <v>1.0752025361042621</v>
      </c>
      <c r="K11">
        <f t="shared" si="14"/>
        <v>1.075202536104262E-3</v>
      </c>
      <c r="L11" s="4">
        <v>10</v>
      </c>
      <c r="M11">
        <f>L11*J11</f>
        <v>10.752025361042621</v>
      </c>
      <c r="N11" s="21">
        <v>1</v>
      </c>
      <c r="O11">
        <v>10</v>
      </c>
      <c r="P11">
        <v>1</v>
      </c>
      <c r="Q11">
        <v>0</v>
      </c>
      <c r="R11" t="s">
        <v>48</v>
      </c>
      <c r="S11">
        <v>30</v>
      </c>
      <c r="T11">
        <f t="shared" si="15"/>
        <v>0.47258333333333336</v>
      </c>
      <c r="U11">
        <f t="shared" si="16"/>
        <v>4.6009999999999997E-6</v>
      </c>
      <c r="V11">
        <f t="shared" si="5"/>
        <v>5.7999999999999995E-7</v>
      </c>
      <c r="W11">
        <v>0.43</v>
      </c>
      <c r="X11">
        <f t="shared" si="6"/>
        <v>10.32</v>
      </c>
      <c r="Y11">
        <v>0.06</v>
      </c>
      <c r="Z11">
        <v>1</v>
      </c>
      <c r="AA11">
        <v>1E-4</v>
      </c>
      <c r="AB11">
        <v>1</v>
      </c>
      <c r="AC11">
        <v>0</v>
      </c>
      <c r="AD11" s="22">
        <f t="shared" si="7"/>
        <v>0.1032</v>
      </c>
      <c r="AE11">
        <f t="shared" si="8"/>
        <v>1E-4</v>
      </c>
      <c r="AF11">
        <f t="shared" si="8"/>
        <v>1E-4</v>
      </c>
      <c r="AG11">
        <v>1</v>
      </c>
      <c r="AH11" t="s">
        <v>48</v>
      </c>
      <c r="AI11">
        <v>9.375E-2</v>
      </c>
    </row>
    <row r="12" spans="1:35">
      <c r="A12" t="s">
        <v>195</v>
      </c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>H12/F12*1000</f>
        <v>0.14336033814723495</v>
      </c>
      <c r="J12">
        <f t="shared" ref="J12:J13" si="17">I12*7.5</f>
        <v>1.0752025361042621</v>
      </c>
      <c r="K12">
        <f t="shared" ref="K12:K13" si="18">J12/1000</f>
        <v>1.075202536104262E-3</v>
      </c>
      <c r="L12" s="4">
        <v>10</v>
      </c>
      <c r="M12">
        <f>L12*J12</f>
        <v>10.752025361042621</v>
      </c>
      <c r="N12">
        <v>1E-4</v>
      </c>
      <c r="O12">
        <v>10</v>
      </c>
      <c r="P12">
        <v>1</v>
      </c>
      <c r="Q12">
        <v>0</v>
      </c>
      <c r="R12" t="s">
        <v>48</v>
      </c>
      <c r="S12">
        <v>30</v>
      </c>
      <c r="T12" s="21">
        <v>1E-3</v>
      </c>
      <c r="U12">
        <f t="shared" si="16"/>
        <v>4.6009999999999997E-6</v>
      </c>
      <c r="V12">
        <f t="shared" si="5"/>
        <v>5.7999999999999995E-7</v>
      </c>
      <c r="W12">
        <v>0.43</v>
      </c>
      <c r="X12">
        <f>W12 *24</f>
        <v>10.32</v>
      </c>
      <c r="Y12">
        <v>0.06</v>
      </c>
      <c r="Z12">
        <v>1</v>
      </c>
      <c r="AA12">
        <v>1E-4</v>
      </c>
      <c r="AB12">
        <v>1</v>
      </c>
      <c r="AC12">
        <v>0</v>
      </c>
      <c r="AD12" s="22">
        <f t="shared" si="7"/>
        <v>0.1032</v>
      </c>
      <c r="AE12">
        <f t="shared" si="8"/>
        <v>1E-4</v>
      </c>
      <c r="AF12">
        <f t="shared" si="8"/>
        <v>1E-4</v>
      </c>
      <c r="AG12">
        <v>1</v>
      </c>
      <c r="AH12" t="s">
        <v>48</v>
      </c>
      <c r="AI12">
        <v>9.375E-2</v>
      </c>
    </row>
    <row r="13" spans="1:35">
      <c r="A13" t="s">
        <v>196</v>
      </c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>H13/F13*1000</f>
        <v>0.14336033814723495</v>
      </c>
      <c r="J13">
        <f t="shared" si="17"/>
        <v>1.0752025361042621</v>
      </c>
      <c r="K13">
        <f t="shared" si="18"/>
        <v>1.075202536104262E-3</v>
      </c>
      <c r="L13" s="4">
        <v>10</v>
      </c>
      <c r="M13">
        <f>L13*J13</f>
        <v>10.752025361042621</v>
      </c>
      <c r="N13">
        <v>1E-4</v>
      </c>
      <c r="O13">
        <v>10</v>
      </c>
      <c r="P13">
        <v>1</v>
      </c>
      <c r="Q13">
        <v>0</v>
      </c>
      <c r="R13" t="s">
        <v>48</v>
      </c>
      <c r="S13">
        <v>30</v>
      </c>
      <c r="T13" s="21">
        <v>0.8</v>
      </c>
      <c r="U13">
        <f t="shared" si="16"/>
        <v>4.6009999999999997E-6</v>
      </c>
      <c r="V13">
        <f t="shared" si="5"/>
        <v>5.7999999999999995E-7</v>
      </c>
      <c r="W13">
        <v>0.43</v>
      </c>
      <c r="X13">
        <f>W13 *24</f>
        <v>10.32</v>
      </c>
      <c r="Y13">
        <v>0.06</v>
      </c>
      <c r="Z13">
        <v>1</v>
      </c>
      <c r="AA13">
        <v>1E-4</v>
      </c>
      <c r="AB13">
        <v>1</v>
      </c>
      <c r="AC13">
        <v>0</v>
      </c>
      <c r="AD13" s="22">
        <f t="shared" si="7"/>
        <v>0.1032</v>
      </c>
      <c r="AE13">
        <f t="shared" si="8"/>
        <v>1E-4</v>
      </c>
      <c r="AF13">
        <f t="shared" si="8"/>
        <v>1E-4</v>
      </c>
      <c r="AG13">
        <v>1</v>
      </c>
      <c r="AH13" t="s">
        <v>48</v>
      </c>
      <c r="AI13">
        <v>9.375E-2</v>
      </c>
    </row>
    <row r="14" spans="1:35">
      <c r="AD14" s="22"/>
    </row>
    <row r="15" spans="1:35">
      <c r="AD15" s="23"/>
    </row>
  </sheetData>
  <autoFilter ref="A3:AI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workbookViewId="0">
      <selection activeCell="F132" sqref="F132"/>
    </sheetView>
  </sheetViews>
  <sheetFormatPr baseColWidth="10" defaultColWidth="10.6640625" defaultRowHeight="16"/>
  <cols>
    <col min="4" max="4" width="12.1640625" bestFit="1" customWidth="1"/>
    <col min="11" max="12" width="12.1640625" bestFit="1" customWidth="1"/>
  </cols>
  <sheetData>
    <row r="1" spans="2:21">
      <c r="B1" t="s">
        <v>31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56</v>
      </c>
    </row>
    <row r="17" spans="12:20">
      <c r="L17" s="1" t="s">
        <v>55</v>
      </c>
      <c r="N17" t="s">
        <v>32</v>
      </c>
      <c r="O17" t="s">
        <v>36</v>
      </c>
      <c r="P17" t="s">
        <v>33</v>
      </c>
      <c r="Q17" t="s">
        <v>34</v>
      </c>
      <c r="R17" t="s">
        <v>35</v>
      </c>
      <c r="T17" t="s">
        <v>39</v>
      </c>
    </row>
    <row r="18" spans="12:20">
      <c r="L18" t="s">
        <v>65</v>
      </c>
      <c r="N18" t="s">
        <v>37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63</v>
      </c>
    </row>
    <row r="20" spans="12:20">
      <c r="L20" t="s">
        <v>64</v>
      </c>
    </row>
    <row r="21" spans="12:20">
      <c r="L21">
        <f>9*12+9+6*16+14</f>
        <v>227</v>
      </c>
      <c r="M21" t="s">
        <v>53</v>
      </c>
    </row>
    <row r="22" spans="12:20">
      <c r="L22" t="s">
        <v>57</v>
      </c>
    </row>
    <row r="25" spans="12:20">
      <c r="L25" s="1" t="s">
        <v>58</v>
      </c>
      <c r="N25" t="s">
        <v>32</v>
      </c>
      <c r="O25" t="s">
        <v>36</v>
      </c>
      <c r="P25" t="s">
        <v>33</v>
      </c>
      <c r="Q25" t="s">
        <v>34</v>
      </c>
      <c r="R25" t="s">
        <v>35</v>
      </c>
      <c r="T25" t="s">
        <v>39</v>
      </c>
    </row>
    <row r="26" spans="12:20">
      <c r="L26" t="s">
        <v>66</v>
      </c>
      <c r="N26" t="s">
        <v>60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53</v>
      </c>
    </row>
    <row r="28" spans="12:20">
      <c r="L28" t="s">
        <v>59</v>
      </c>
    </row>
    <row r="31" spans="12:20">
      <c r="L31" t="s">
        <v>140</v>
      </c>
    </row>
    <row r="32" spans="12:20" ht="18">
      <c r="L32" t="s">
        <v>61</v>
      </c>
    </row>
    <row r="33" spans="10:20">
      <c r="L33" s="1" t="s">
        <v>62</v>
      </c>
      <c r="N33" t="s">
        <v>32</v>
      </c>
      <c r="O33" t="s">
        <v>36</v>
      </c>
      <c r="P33" t="s">
        <v>33</v>
      </c>
      <c r="Q33" t="s">
        <v>34</v>
      </c>
      <c r="R33" t="s">
        <v>35</v>
      </c>
      <c r="T33" t="s">
        <v>39</v>
      </c>
    </row>
    <row r="34" spans="10:20">
      <c r="L34" t="s">
        <v>69</v>
      </c>
      <c r="N34" t="s">
        <v>60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68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70</v>
      </c>
    </row>
    <row r="41" spans="10:20">
      <c r="M41">
        <v>2.6</v>
      </c>
      <c r="N41" t="s">
        <v>67</v>
      </c>
      <c r="P41">
        <v>2.6</v>
      </c>
      <c r="Q41" t="s">
        <v>67</v>
      </c>
    </row>
    <row r="42" spans="10:20">
      <c r="L42" t="s">
        <v>76</v>
      </c>
      <c r="M42">
        <f>12+1.8+0.5*16+0.2*14</f>
        <v>24.6</v>
      </c>
      <c r="N42" t="s">
        <v>141</v>
      </c>
    </row>
    <row r="48" spans="10:20">
      <c r="L48" s="5"/>
    </row>
    <row r="50" spans="3:14">
      <c r="M50" t="s">
        <v>1</v>
      </c>
      <c r="N50" t="s">
        <v>71</v>
      </c>
    </row>
    <row r="51" spans="3:14">
      <c r="L51">
        <f>0.2035/1419.5*1000</f>
        <v>0.14336033814723495</v>
      </c>
      <c r="M51" t="s">
        <v>73</v>
      </c>
      <c r="N51" t="s">
        <v>72</v>
      </c>
    </row>
    <row r="54" spans="3:14">
      <c r="L54">
        <f>0.00000005/24.6*0.1</f>
        <v>2.032520325203252E-10</v>
      </c>
      <c r="M54" t="s">
        <v>156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77</v>
      </c>
    </row>
    <row r="59" spans="3:14" ht="18">
      <c r="L59" t="s">
        <v>78</v>
      </c>
    </row>
    <row r="60" spans="3:14">
      <c r="C60" t="s">
        <v>88</v>
      </c>
      <c r="D60" t="s">
        <v>89</v>
      </c>
      <c r="L60" s="1" t="s">
        <v>84</v>
      </c>
      <c r="M60">
        <f>5*12+7+2*16+14</f>
        <v>113</v>
      </c>
      <c r="N60" t="s">
        <v>38</v>
      </c>
    </row>
    <row r="61" spans="3:14">
      <c r="D61" t="s">
        <v>90</v>
      </c>
      <c r="E61" t="s">
        <v>91</v>
      </c>
      <c r="L61" t="s">
        <v>79</v>
      </c>
    </row>
    <row r="62" spans="3:14">
      <c r="C62" t="s">
        <v>94</v>
      </c>
      <c r="D62">
        <v>7.5</v>
      </c>
      <c r="E62" t="s">
        <v>91</v>
      </c>
      <c r="L62" t="s">
        <v>80</v>
      </c>
    </row>
    <row r="63" spans="3:14">
      <c r="C63" t="s">
        <v>95</v>
      </c>
      <c r="D63">
        <v>5.9</v>
      </c>
      <c r="E63" t="s">
        <v>91</v>
      </c>
      <c r="L63" t="s">
        <v>81</v>
      </c>
    </row>
    <row r="64" spans="3:14">
      <c r="C64" s="13" t="s">
        <v>92</v>
      </c>
      <c r="D64" s="13">
        <f>D62-D63</f>
        <v>1.5999999999999996</v>
      </c>
      <c r="E64" s="13" t="s">
        <v>91</v>
      </c>
      <c r="F64" s="13"/>
      <c r="K64">
        <f>17/4</f>
        <v>4.25</v>
      </c>
      <c r="L64" t="s">
        <v>82</v>
      </c>
    </row>
    <row r="65" spans="3:13">
      <c r="C65" s="13" t="s">
        <v>93</v>
      </c>
      <c r="D65" s="13">
        <f>D62+D63</f>
        <v>13.4</v>
      </c>
      <c r="E65" s="13" t="s">
        <v>91</v>
      </c>
      <c r="F65" s="13"/>
      <c r="L65" t="s">
        <v>83</v>
      </c>
    </row>
    <row r="66" spans="3:13">
      <c r="C66" t="s">
        <v>96</v>
      </c>
      <c r="D66">
        <f>D62/227.172/1000</f>
        <v>3.3014632084940045E-5</v>
      </c>
      <c r="E66" t="s">
        <v>97</v>
      </c>
      <c r="L66">
        <f>4.25*32</f>
        <v>136</v>
      </c>
      <c r="M66" t="s">
        <v>85</v>
      </c>
    </row>
    <row r="67" spans="3:13">
      <c r="C67" t="s">
        <v>98</v>
      </c>
      <c r="D67">
        <f>D63/227.172/1000</f>
        <v>2.5971510573486172E-5</v>
      </c>
      <c r="E67" t="s">
        <v>97</v>
      </c>
      <c r="L67">
        <f>L66/M60</f>
        <v>1.2035398230088497</v>
      </c>
      <c r="M67" t="s">
        <v>86</v>
      </c>
    </row>
    <row r="68" spans="3:13">
      <c r="C68" t="s">
        <v>96</v>
      </c>
      <c r="D68">
        <f>D66*24.6</f>
        <v>8.1215994928952515E-4</v>
      </c>
      <c r="E68" t="s">
        <v>99</v>
      </c>
      <c r="L68" t="s">
        <v>157</v>
      </c>
    </row>
    <row r="69" spans="3:13">
      <c r="C69" t="s">
        <v>98</v>
      </c>
      <c r="D69">
        <f>D67*24.6</f>
        <v>6.388991601077599E-4</v>
      </c>
      <c r="E69" t="s">
        <v>99</v>
      </c>
    </row>
    <row r="70" spans="3:13">
      <c r="C70" t="s">
        <v>96</v>
      </c>
      <c r="D70">
        <f>D68*1.075/1.05</f>
        <v>8.3149709093927569E-4</v>
      </c>
      <c r="E70" t="s">
        <v>100</v>
      </c>
    </row>
    <row r="71" spans="3:13">
      <c r="C71" t="s">
        <v>98</v>
      </c>
      <c r="D71">
        <f>D69*1.075/1.05</f>
        <v>6.5411104487223025E-4</v>
      </c>
      <c r="E71" t="s">
        <v>100</v>
      </c>
    </row>
    <row r="75" spans="3:13">
      <c r="C75" s="12" t="s">
        <v>101</v>
      </c>
    </row>
    <row r="76" spans="3:13">
      <c r="D76">
        <v>0.33</v>
      </c>
      <c r="E76" t="s">
        <v>102</v>
      </c>
    </row>
    <row r="77" spans="3:13">
      <c r="D77">
        <v>0.73</v>
      </c>
      <c r="E77" t="s">
        <v>102</v>
      </c>
    </row>
    <row r="78" spans="3:13">
      <c r="D78">
        <f>D76/1000000</f>
        <v>3.3000000000000002E-7</v>
      </c>
      <c r="E78" t="s">
        <v>108</v>
      </c>
    </row>
    <row r="79" spans="3:13">
      <c r="D79">
        <f>D77/1000000</f>
        <v>7.3E-7</v>
      </c>
      <c r="E79" t="s">
        <v>108</v>
      </c>
    </row>
    <row r="80" spans="3:13">
      <c r="D80">
        <f>D78/12</f>
        <v>2.7500000000000001E-8</v>
      </c>
      <c r="E80" t="s">
        <v>103</v>
      </c>
    </row>
    <row r="81" spans="4:12">
      <c r="D81">
        <f>D79/12</f>
        <v>6.0833333333333329E-8</v>
      </c>
      <c r="E81" t="s">
        <v>103</v>
      </c>
    </row>
    <row r="82" spans="4:12">
      <c r="D82">
        <f>D80/0.0000005*0.1</f>
        <v>5.5000000000000014E-3</v>
      </c>
      <c r="E82" t="s">
        <v>104</v>
      </c>
    </row>
    <row r="83" spans="4:12">
      <c r="D83">
        <f>D81/0.0000005*0.1</f>
        <v>1.2166666666666666E-2</v>
      </c>
      <c r="E83" t="s">
        <v>105</v>
      </c>
    </row>
    <row r="84" spans="4:12">
      <c r="D84">
        <f>D82*24.6</f>
        <v>0.13530000000000003</v>
      </c>
      <c r="E84" t="s">
        <v>106</v>
      </c>
    </row>
    <row r="85" spans="4:12">
      <c r="D85">
        <f>D83*24.6</f>
        <v>0.29930000000000001</v>
      </c>
      <c r="E85" t="s">
        <v>106</v>
      </c>
    </row>
    <row r="86" spans="4:12">
      <c r="D86">
        <f>D84*1/1.05</f>
        <v>0.12885714285714289</v>
      </c>
      <c r="E86" t="s">
        <v>107</v>
      </c>
    </row>
    <row r="87" spans="4:12">
      <c r="D87">
        <f>D85*1/1.05</f>
        <v>0.28504761904761905</v>
      </c>
      <c r="E87" t="s">
        <v>107</v>
      </c>
    </row>
    <row r="89" spans="4:12">
      <c r="D89">
        <f>AVERAGE(D87,D86,D70,D125,D126)</f>
        <v>8.4242681454371637E-2</v>
      </c>
      <c r="E89" t="s">
        <v>132</v>
      </c>
      <c r="K89" s="16" t="s">
        <v>112</v>
      </c>
    </row>
    <row r="90" spans="4:12">
      <c r="D90" s="14">
        <v>6.905E-6</v>
      </c>
      <c r="E90" t="s">
        <v>109</v>
      </c>
      <c r="K90">
        <v>0.35</v>
      </c>
      <c r="L90" t="s">
        <v>113</v>
      </c>
    </row>
    <row r="91" spans="4:12">
      <c r="D91" s="14">
        <f>D89*D90</f>
        <v>5.8169571544243611E-7</v>
      </c>
      <c r="E91" t="s">
        <v>110</v>
      </c>
      <c r="K91">
        <f>K90/1000000/24.6</f>
        <v>1.4227642276422762E-8</v>
      </c>
      <c r="L91" t="s">
        <v>114</v>
      </c>
    </row>
    <row r="92" spans="4:12">
      <c r="D92" s="14">
        <f>D91</f>
        <v>5.8169571544243611E-7</v>
      </c>
      <c r="E92" t="s">
        <v>111</v>
      </c>
      <c r="K92">
        <f>K91*1.05</f>
        <v>1.4939024390243901E-8</v>
      </c>
      <c r="L92" t="s">
        <v>115</v>
      </c>
    </row>
    <row r="93" spans="4:12">
      <c r="K93">
        <f>0.00001</f>
        <v>1.0000000000000001E-5</v>
      </c>
      <c r="L93" t="s">
        <v>116</v>
      </c>
    </row>
    <row r="94" spans="4:12">
      <c r="K94">
        <f>K92/K93</f>
        <v>1.4939024390243901E-3</v>
      </c>
      <c r="L94" t="s">
        <v>117</v>
      </c>
    </row>
    <row r="96" spans="4:12">
      <c r="E96" t="s">
        <v>118</v>
      </c>
    </row>
    <row r="97" spans="4:14">
      <c r="D97">
        <v>0.33500000000000002</v>
      </c>
      <c r="E97" s="17" t="s">
        <v>133</v>
      </c>
    </row>
    <row r="98" spans="4:14">
      <c r="D98">
        <v>9.09</v>
      </c>
      <c r="E98" t="s">
        <v>119</v>
      </c>
      <c r="F98" t="s">
        <v>120</v>
      </c>
      <c r="L98" t="s">
        <v>142</v>
      </c>
    </row>
    <row r="99" spans="4:14">
      <c r="D99">
        <v>7.58</v>
      </c>
      <c r="E99" t="s">
        <v>119</v>
      </c>
      <c r="F99" t="s">
        <v>121</v>
      </c>
      <c r="L99">
        <f>AVERAGE(D127, D86:D87,D70)</f>
        <v>0.10371468607138892</v>
      </c>
      <c r="M99" t="s">
        <v>138</v>
      </c>
      <c r="N99" s="16" t="s">
        <v>136</v>
      </c>
    </row>
    <row r="100" spans="4:14">
      <c r="D100">
        <v>7.96</v>
      </c>
      <c r="E100" t="s">
        <v>119</v>
      </c>
      <c r="F100" t="s">
        <v>122</v>
      </c>
      <c r="N100" s="15" t="s">
        <v>137</v>
      </c>
    </row>
    <row r="101" spans="4:14">
      <c r="D101">
        <v>6.52</v>
      </c>
      <c r="E101" t="s">
        <v>119</v>
      </c>
      <c r="F101" t="s">
        <v>123</v>
      </c>
    </row>
    <row r="102" spans="4:14">
      <c r="D102">
        <v>4.71</v>
      </c>
      <c r="E102" s="17" t="s">
        <v>124</v>
      </c>
      <c r="F102" t="s">
        <v>121</v>
      </c>
      <c r="H102">
        <f>AVERAGE(D102:D105)</f>
        <v>4.3424999999999994</v>
      </c>
    </row>
    <row r="103" spans="4:14">
      <c r="D103">
        <v>4.3499999999999996</v>
      </c>
      <c r="E103" s="17" t="s">
        <v>124</v>
      </c>
      <c r="F103" t="s">
        <v>122</v>
      </c>
    </row>
    <row r="104" spans="4:14">
      <c r="D104">
        <v>4.18</v>
      </c>
      <c r="E104" s="17" t="s">
        <v>124</v>
      </c>
      <c r="F104" t="s">
        <v>123</v>
      </c>
    </row>
    <row r="105" spans="4:14">
      <c r="D105">
        <v>4.13</v>
      </c>
      <c r="E105" s="17" t="s">
        <v>124</v>
      </c>
      <c r="F105" t="s">
        <v>120</v>
      </c>
    </row>
    <row r="106" spans="4:14">
      <c r="D106">
        <v>4.3</v>
      </c>
      <c r="E106" s="17" t="s">
        <v>125</v>
      </c>
    </row>
    <row r="107" spans="4:14">
      <c r="D107">
        <v>0.5</v>
      </c>
      <c r="E107" s="17" t="s">
        <v>126</v>
      </c>
    </row>
    <row r="108" spans="4:14" ht="20">
      <c r="D108">
        <v>14.9</v>
      </c>
      <c r="E108" s="17" t="s">
        <v>128</v>
      </c>
    </row>
    <row r="109" spans="4:14">
      <c r="D109">
        <v>1.9</v>
      </c>
      <c r="E109" s="17" t="s">
        <v>127</v>
      </c>
    </row>
    <row r="110" spans="4:14">
      <c r="D110">
        <v>12.4</v>
      </c>
      <c r="E110" s="17" t="s">
        <v>130</v>
      </c>
    </row>
    <row r="111" spans="4:14">
      <c r="D111">
        <v>1.2</v>
      </c>
      <c r="E111" s="17" t="s">
        <v>129</v>
      </c>
    </row>
    <row r="112" spans="4:14">
      <c r="D112">
        <v>0.01</v>
      </c>
      <c r="E112" s="17" t="s">
        <v>143</v>
      </c>
    </row>
    <row r="113" spans="4:5">
      <c r="D113">
        <v>8.1</v>
      </c>
      <c r="E113" s="17" t="s">
        <v>144</v>
      </c>
    </row>
    <row r="114" spans="4:5">
      <c r="D114" s="18">
        <v>0.15336312500000002</v>
      </c>
      <c r="E114" s="17" t="s">
        <v>153</v>
      </c>
    </row>
    <row r="115" spans="4:5">
      <c r="E115" s="17" t="s">
        <v>131</v>
      </c>
    </row>
    <row r="116" spans="4:5">
      <c r="D116">
        <f>D112/12/1000</f>
        <v>8.3333333333333344E-7</v>
      </c>
      <c r="E116" s="17" t="s">
        <v>145</v>
      </c>
    </row>
    <row r="117" spans="4:5">
      <c r="D117">
        <f>D113/12/1000</f>
        <v>6.7499999999999993E-4</v>
      </c>
      <c r="E117" s="17" t="s">
        <v>146</v>
      </c>
    </row>
    <row r="118" spans="4:5">
      <c r="D118">
        <f>D114/12/1000</f>
        <v>1.2780260416666668E-5</v>
      </c>
      <c r="E118" s="17" t="s">
        <v>134</v>
      </c>
    </row>
    <row r="119" spans="4:5">
      <c r="D119">
        <f>D116/H$102</f>
        <v>1.9190174630589144E-7</v>
      </c>
      <c r="E119" s="17" t="s">
        <v>147</v>
      </c>
    </row>
    <row r="120" spans="4:5">
      <c r="D120">
        <f>D117/H$102</f>
        <v>1.5544041450777204E-4</v>
      </c>
      <c r="E120" s="17" t="s">
        <v>148</v>
      </c>
    </row>
    <row r="121" spans="4:5">
      <c r="D121">
        <f>D118/H$102</f>
        <v>2.9430651506428716E-6</v>
      </c>
      <c r="E121" s="17" t="s">
        <v>135</v>
      </c>
    </row>
    <row r="122" spans="4:5">
      <c r="D122">
        <f>D119*1000/24.6</f>
        <v>7.8008839961744482E-6</v>
      </c>
      <c r="E122" s="17" t="s">
        <v>149</v>
      </c>
    </row>
    <row r="123" spans="4:5">
      <c r="D123">
        <f>D120*1000/24.6</f>
        <v>6.3187160369013026E-3</v>
      </c>
      <c r="E123" s="17" t="s">
        <v>150</v>
      </c>
    </row>
    <row r="124" spans="4:5">
      <c r="D124">
        <f>D121*1000/24.6</f>
        <v>1.1963679474158013E-4</v>
      </c>
      <c r="E124" s="17" t="s">
        <v>154</v>
      </c>
    </row>
    <row r="125" spans="4:5">
      <c r="D125">
        <f>D122*1.075/1.05</f>
        <v>7.9866193294166962E-6</v>
      </c>
      <c r="E125" s="17" t="s">
        <v>151</v>
      </c>
    </row>
    <row r="126" spans="4:5">
      <c r="D126">
        <f>D123*1.075/1.05</f>
        <v>6.4691616568275231E-3</v>
      </c>
      <c r="E126" s="17" t="s">
        <v>152</v>
      </c>
    </row>
    <row r="127" spans="4:5">
      <c r="D127">
        <f>D124*1.075/1.05</f>
        <v>1.224852898544749E-4</v>
      </c>
      <c r="E127" s="17" t="s">
        <v>155</v>
      </c>
    </row>
    <row r="130" spans="4:6" ht="210">
      <c r="D130" s="20" t="s">
        <v>165</v>
      </c>
    </row>
    <row r="131" spans="4:6">
      <c r="D131">
        <f xml:space="preserve"> 7.3*10^-5</f>
        <v>7.2999999999999999E-5</v>
      </c>
      <c r="E131" t="s">
        <v>161</v>
      </c>
      <c r="F131" t="s">
        <v>187</v>
      </c>
    </row>
    <row r="132" spans="4:6">
      <c r="D132">
        <f>D131/3.5</f>
        <v>2.0857142857142857E-5</v>
      </c>
      <c r="E132" t="s">
        <v>162</v>
      </c>
      <c r="F132" t="s">
        <v>171</v>
      </c>
    </row>
    <row r="133" spans="4:6">
      <c r="D133">
        <v>630000</v>
      </c>
      <c r="E133" t="s">
        <v>159</v>
      </c>
      <c r="F133" t="s">
        <v>158</v>
      </c>
    </row>
    <row r="134" spans="4:6">
      <c r="D134">
        <f>D133*1000000000000</f>
        <v>6.3E+17</v>
      </c>
      <c r="E134" t="s">
        <v>160</v>
      </c>
      <c r="F134" t="s">
        <v>158</v>
      </c>
    </row>
    <row r="135" spans="4:6">
      <c r="D135">
        <f>D134*D132</f>
        <v>13140000000000</v>
      </c>
      <c r="E135" t="s">
        <v>163</v>
      </c>
      <c r="F135" t="s">
        <v>164</v>
      </c>
    </row>
    <row r="136" spans="4:6">
      <c r="D136">
        <f>9*12+9+6*16+14</f>
        <v>227</v>
      </c>
      <c r="E136" t="s">
        <v>166</v>
      </c>
      <c r="F136" t="s">
        <v>167</v>
      </c>
    </row>
    <row r="137" spans="4:6">
      <c r="D137">
        <f>D135*D136</f>
        <v>2982780000000000</v>
      </c>
      <c r="E137" t="s">
        <v>168</v>
      </c>
      <c r="F137" t="s">
        <v>164</v>
      </c>
    </row>
    <row r="138" spans="4:6">
      <c r="D138">
        <f>D137/1000</f>
        <v>2982780000000</v>
      </c>
      <c r="E138" t="s">
        <v>169</v>
      </c>
      <c r="F138" t="s">
        <v>164</v>
      </c>
    </row>
    <row r="139" spans="4:6">
      <c r="D139">
        <f>D138/1000</f>
        <v>2982780000</v>
      </c>
      <c r="E139" t="s">
        <v>170</v>
      </c>
      <c r="F139" t="s">
        <v>164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Schmidt Isabel Susanne</cp:lastModifiedBy>
  <dcterms:created xsi:type="dcterms:W3CDTF">2025-01-31T16:38:44Z</dcterms:created>
  <dcterms:modified xsi:type="dcterms:W3CDTF">2026-06-08T12:36:13Z</dcterms:modified>
</cp:coreProperties>
</file>