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Override PartName="/xl/threadedComments/threadedComment1.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defaultThemeVersion="166925"/>
  <mc:AlternateContent xmlns:mc="http://schemas.openxmlformats.org/markup-compatibility/2006">
    <mc:Choice Requires="x15">
      <x15ac:absPath xmlns:x15ac="http://schemas.microsoft.com/office/spreadsheetml/2010/11/ac" url="G:\freefilesyncHBU\projects\git\gw_ecosystem_services\Fulda_plains\R_git\gtm_River_Fulda_floodplain\gtm_River_Fulda_floodplain\"/>
    </mc:Choice>
  </mc:AlternateContent>
  <xr:revisionPtr revIDLastSave="0" documentId="13_ncr:1_{843EEF6D-6D56-4659-9EBF-94661E9A6119}" xr6:coauthVersionLast="36" xr6:coauthVersionMax="47" xr10:uidLastSave="{00000000-0000-0000-0000-000000000000}"/>
  <bookViews>
    <workbookView xWindow="0" yWindow="504" windowWidth="23040" windowHeight="7140" xr2:uid="{8E85E7A9-C450-5844-BD64-77EB6910F2CD}"/>
  </bookViews>
  <sheets>
    <sheet name="Tabelle1" sheetId="1" r:id="rId1"/>
    <sheet name="calculating_COD" sheetId="6" r:id="rId2"/>
  </sheets>
  <definedNames>
    <definedName name="_xlnm._FilterDatabase" localSheetId="0" hidden="1">Tabelle1!$A$3:$AK$3</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V11" i="1" l="1"/>
  <c r="V10" i="1"/>
  <c r="AH11" i="1"/>
  <c r="AF11" i="1"/>
  <c r="Y11" i="1"/>
  <c r="Z11" i="1" s="1"/>
  <c r="W11" i="1"/>
  <c r="H11" i="1"/>
  <c r="F11" i="1"/>
  <c r="J11" i="1" s="1"/>
  <c r="K11" i="1" s="1"/>
  <c r="AH10" i="1"/>
  <c r="AF10" i="1"/>
  <c r="Y10" i="1"/>
  <c r="Z10" i="1" s="1"/>
  <c r="W10" i="1"/>
  <c r="H10" i="1"/>
  <c r="F10" i="1"/>
  <c r="J10" i="1" l="1"/>
  <c r="K10" i="1" s="1"/>
  <c r="N10" i="1"/>
  <c r="L10" i="1"/>
  <c r="N11" i="1"/>
  <c r="L11" i="1"/>
  <c r="U4" i="1"/>
  <c r="U13" i="1"/>
  <c r="U12" i="1"/>
  <c r="U9" i="1"/>
  <c r="U8" i="1"/>
  <c r="U7" i="1"/>
  <c r="U6" i="1"/>
  <c r="U5" i="1"/>
  <c r="AH13" i="1" l="1"/>
  <c r="AF13" i="1"/>
  <c r="Y13" i="1"/>
  <c r="Z13" i="1" s="1"/>
  <c r="W13" i="1"/>
  <c r="H13" i="1"/>
  <c r="F13" i="1"/>
  <c r="J13" i="1" s="1"/>
  <c r="K13" i="1" s="1"/>
  <c r="AH12" i="1"/>
  <c r="AF12" i="1"/>
  <c r="Y12" i="1"/>
  <c r="Z12" i="1" s="1"/>
  <c r="W12" i="1"/>
  <c r="H12" i="1"/>
  <c r="J12" i="1" s="1"/>
  <c r="K12" i="1" s="1"/>
  <c r="N12" i="1" s="1"/>
  <c r="F12" i="1"/>
  <c r="L12" i="1" l="1"/>
  <c r="N13" i="1"/>
  <c r="L13" i="1"/>
  <c r="D136" i="6" l="1"/>
  <c r="D134" i="6"/>
  <c r="D131" i="6"/>
  <c r="D132" i="6" s="1"/>
  <c r="AH4" i="1"/>
  <c r="AF9" i="1"/>
  <c r="AF8" i="1"/>
  <c r="AF7" i="1"/>
  <c r="AF6" i="1"/>
  <c r="AF5" i="1"/>
  <c r="AF4" i="1"/>
  <c r="D118" i="6"/>
  <c r="AH9" i="1"/>
  <c r="AH8" i="1"/>
  <c r="AH7" i="1"/>
  <c r="AH6" i="1"/>
  <c r="AH5" i="1"/>
  <c r="W9" i="1"/>
  <c r="W8" i="1"/>
  <c r="W7" i="1"/>
  <c r="W6" i="1"/>
  <c r="W5" i="1"/>
  <c r="W4" i="1"/>
  <c r="H102" i="6"/>
  <c r="D117" i="6"/>
  <c r="D116" i="6"/>
  <c r="K93" i="6"/>
  <c r="K91" i="6"/>
  <c r="K92" i="6" s="1"/>
  <c r="Y9" i="1"/>
  <c r="Z9" i="1" s="1"/>
  <c r="Y4" i="1"/>
  <c r="Z4" i="1" s="1"/>
  <c r="D79" i="6"/>
  <c r="D81" i="6" s="1"/>
  <c r="D83" i="6" s="1"/>
  <c r="D85" i="6" s="1"/>
  <c r="D87" i="6" s="1"/>
  <c r="D78" i="6"/>
  <c r="D80" i="6" s="1"/>
  <c r="D82" i="6" s="1"/>
  <c r="D84" i="6" s="1"/>
  <c r="D86" i="6" s="1"/>
  <c r="V9" i="1"/>
  <c r="H9" i="1"/>
  <c r="F9" i="1"/>
  <c r="Y8" i="1"/>
  <c r="Z8" i="1" s="1"/>
  <c r="V8" i="1"/>
  <c r="H8" i="1"/>
  <c r="F8" i="1"/>
  <c r="Y7" i="1"/>
  <c r="Z7" i="1" s="1"/>
  <c r="V7" i="1"/>
  <c r="H7" i="1"/>
  <c r="F7" i="1"/>
  <c r="Y6" i="1"/>
  <c r="Z6" i="1" s="1"/>
  <c r="V6" i="1"/>
  <c r="H6" i="1"/>
  <c r="F6" i="1"/>
  <c r="Y5" i="1"/>
  <c r="Z5" i="1" s="1"/>
  <c r="V5" i="1"/>
  <c r="H5" i="1"/>
  <c r="F5" i="1"/>
  <c r="V4" i="1"/>
  <c r="H4" i="1"/>
  <c r="F4" i="1"/>
  <c r="D67" i="6"/>
  <c r="D69" i="6" s="1"/>
  <c r="D71" i="6" s="1"/>
  <c r="D66" i="6"/>
  <c r="D68" i="6" s="1"/>
  <c r="D70" i="6" s="1"/>
  <c r="D65" i="6"/>
  <c r="D64" i="6"/>
  <c r="L66" i="6"/>
  <c r="M60" i="6"/>
  <c r="K64" i="6"/>
  <c r="J4" i="1" l="1"/>
  <c r="K4" i="1" s="1"/>
  <c r="D135" i="6"/>
  <c r="D137" i="6" s="1"/>
  <c r="D138" i="6" s="1"/>
  <c r="D139" i="6" s="1"/>
  <c r="D121" i="6"/>
  <c r="D124" i="6" s="1"/>
  <c r="D127" i="6" s="1"/>
  <c r="L99" i="6" s="1"/>
  <c r="J8" i="1"/>
  <c r="K8" i="1" s="1"/>
  <c r="N8" i="1" s="1"/>
  <c r="J5" i="1"/>
  <c r="K5" i="1" s="1"/>
  <c r="N5" i="1" s="1"/>
  <c r="J7" i="1"/>
  <c r="K7" i="1" s="1"/>
  <c r="L7" i="1" s="1"/>
  <c r="J9" i="1"/>
  <c r="K9" i="1" s="1"/>
  <c r="N9" i="1" s="1"/>
  <c r="J6" i="1"/>
  <c r="K6" i="1" s="1"/>
  <c r="N6" i="1" s="1"/>
  <c r="K94" i="6"/>
  <c r="D119" i="6"/>
  <c r="D122" i="6" s="1"/>
  <c r="D125" i="6" s="1"/>
  <c r="L67" i="6"/>
  <c r="D120" i="6"/>
  <c r="D123" i="6" s="1"/>
  <c r="D126" i="6" s="1"/>
  <c r="L4" i="1" l="1"/>
  <c r="N4" i="1"/>
  <c r="L5" i="1"/>
  <c r="L8" i="1"/>
  <c r="L6" i="1"/>
  <c r="N7" i="1"/>
  <c r="L9" i="1"/>
  <c r="D89" i="6"/>
  <c r="D91" i="6" s="1"/>
  <c r="D92" i="6" s="1"/>
  <c r="L55" i="6"/>
  <c r="L54" i="6"/>
  <c r="M42" i="6" l="1"/>
  <c r="L36" i="6"/>
  <c r="L51" i="6"/>
  <c r="M36" i="6"/>
  <c r="T34" i="6"/>
  <c r="T26" i="6"/>
  <c r="T18" i="6"/>
  <c r="L21"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Susanne Schmidt</author>
    <author>tc={BC23984A-4BE5-DB42-8CB2-421621628373}</author>
    <author>tc={A973AB73-A4B2-DB42-8CE2-2E9D2BA6D327}</author>
    <author>tc={B2EEDDFE-EFB6-B841-B3B1-49218DCB8340}</author>
    <author>tc={D83D8722-287D-8543-91DC-DFD968583D4B}</author>
    <author>tc={4DF7EAEC-CD2F-EF4A-9BF0-F3F1E42E4442}</author>
    <author>tc={8B1BECD1-664B-894E-902F-58308D659DA9}</author>
    <author>tc={944B0A6E-7F35-8040-8354-541096ED2DBE}</author>
    <author>tc={009AF6C5-B9AC-7541-9E56-015D22C54F6F}</author>
    <author>tc={0F2B29B9-EE72-C54A-8714-498DD1A3C8E0}</author>
    <author>tc={3C0608B8-171F-064A-822A-A3CC6DDC9FC4}</author>
    <author>tc={4659E4E8-C0C9-CB4D-BEA9-CCB12CD16D5B}</author>
    <author>tc={B40E02FA-A395-684A-865E-E43D81BF9EF7}</author>
    <author>tc={8AB12162-2BF7-9849-9318-3D6AC8CBAB8F}</author>
    <author>tc={D578DC42-15AA-9242-8F7A-DCCCBD7DB327}</author>
    <author>tc={D9858DC7-D04C-4A4F-872C-0C59D675639A}</author>
    <author>tc={507182A8-A16E-3B46-A78B-C475F7E79FFC}</author>
    <author>tc={28910C3F-267C-EF48-8C2C-F6C895522D82}</author>
    <author>tc={E7A076DC-8E76-1148-951F-1F3AE0C081A3}</author>
    <author>tc={8ABD701E-78D0-4A47-8F33-59280C42BAAB}</author>
    <author>tc={C8D487C4-854D-254E-A24C-BB3F3463062E}</author>
    <author>tc={E68EDC32-0C11-F24F-BC92-6599E44DEE2B}</author>
    <author>tc={03DDDF21-1FDE-1A44-92CB-02C9D1E67681}</author>
    <author>tc={74D124C3-18A4-4549-83DD-7E733D9BD57D}</author>
    <author>tc={59162C1A-C9E9-6D46-9F9A-64B6BAFF2CAB}</author>
  </authors>
  <commentList>
    <comment ref="R3" authorId="0" shapeId="0" xr:uid="{C7B782E2-F656-DB45-97AC-D2B1A4310A43}">
      <text>
        <r>
          <rPr>
            <b/>
            <sz val="10"/>
            <color rgb="FF000000"/>
            <rFont val="Tahoma"/>
            <family val="2"/>
          </rPr>
          <t>Susanne Schmidt:</t>
        </r>
        <r>
          <rPr>
            <sz val="10"/>
            <color rgb="FF000000"/>
            <rFont val="Tahoma"/>
            <family val="2"/>
          </rPr>
          <t xml:space="preserve">
</t>
        </r>
        <r>
          <rPr>
            <sz val="10"/>
            <color rgb="FF000000"/>
            <rFont val="Calibri"/>
            <family val="2"/>
            <scheme val="minor"/>
          </rPr>
          <t xml:space="preserve">at this stage not used
</t>
        </r>
      </text>
    </comment>
    <comment ref="AE3" authorId="0" shapeId="0" xr:uid="{C3505123-F90F-DE41-BEE8-86A5DB659096}">
      <text>
        <r>
          <rPr>
            <b/>
            <sz val="10"/>
            <color rgb="FF000000"/>
            <rFont val="Tahoma"/>
            <family val="2"/>
          </rPr>
          <t>Susanne Schmidt:</t>
        </r>
        <r>
          <rPr>
            <sz val="10"/>
            <color rgb="FF000000"/>
            <rFont val="Tahoma"/>
            <family val="2"/>
          </rPr>
          <t xml:space="preserve">
</t>
        </r>
        <r>
          <rPr>
            <sz val="10"/>
            <color rgb="FF000000"/>
            <rFont val="Tahoma"/>
            <family val="2"/>
          </rPr>
          <t>at this stage not used</t>
        </r>
      </text>
    </comment>
    <comment ref="K4" authorId="1" shapeId="0" xr:uid="{BC23984A-4BE5-DB42-8CB2-421621628373}">
      <text>
        <r>
          <rPr>
            <sz val="12"/>
            <color rgb="FF000000"/>
            <rFont val="Calibri"/>
            <family val="2"/>
          </rPr>
          <t xml:space="preserve">[Threaded comment]
</t>
        </r>
        <r>
          <rPr>
            <sz val="12"/>
            <color rgb="FF000000"/>
            <rFont val="Calibri"/>
            <family val="2"/>
          </rPr>
          <t xml:space="preserve">
</t>
        </r>
        <r>
          <rPr>
            <sz val="12"/>
            <color rgb="FF000000"/>
            <rFont val="Calibri"/>
            <family val="2"/>
          </rPr>
          <t xml:space="preserve">Your version of Excel allows you to read this threaded comment; however, any edits to it will get removed if the file is opened in a newer version of Excel. Learn more: https://go.microsoft.com/fwlink/?linkid=870924
</t>
        </r>
        <r>
          <rPr>
            <sz val="12"/>
            <color rgb="FF000000"/>
            <rFont val="Calibri"/>
            <family val="2"/>
          </rPr>
          <t xml:space="preserve">
</t>
        </r>
        <r>
          <rPr>
            <sz val="12"/>
            <color rgb="FF000000"/>
            <rFont val="Calibri"/>
            <family val="2"/>
          </rPr>
          <t xml:space="preserve">Comment:
</t>
        </r>
        <r>
          <rPr>
            <sz val="12"/>
            <color rgb="FF000000"/>
            <rFont val="Calibri"/>
            <family val="2"/>
          </rPr>
          <t xml:space="preserve">    7.5 g COD per g humic acid derived in SI, and on sheet calculating_COD in this file</t>
        </r>
      </text>
    </comment>
    <comment ref="W4" authorId="2" shapeId="0" xr:uid="{A973AB73-A4B2-DB42-8CE2-2E9D2BA6D327}">
      <text>
        <r>
          <rPr>
            <sz val="12"/>
            <color rgb="FF000000"/>
            <rFont val="Calibri"/>
            <family val="2"/>
          </rPr>
          <t xml:space="preserve">[Threaded comment]
</t>
        </r>
        <r>
          <rPr>
            <sz val="12"/>
            <color rgb="FF000000"/>
            <rFont val="Calibri"/>
            <family val="2"/>
          </rPr>
          <t xml:space="preserve">
</t>
        </r>
        <r>
          <rPr>
            <sz val="12"/>
            <color rgb="FF000000"/>
            <rFont val="Calibri"/>
            <family val="2"/>
          </rPr>
          <t xml:space="preserve">Your version of Excel allows you to read this threaded comment; however, any edits to it will get removed if the file is opened in a newer version of Excel. Learn more: https://go.microsoft.com/fwlink/?linkid=870924
</t>
        </r>
        <r>
          <rPr>
            <sz val="12"/>
            <color rgb="FF000000"/>
            <rFont val="Calibri"/>
            <family val="2"/>
          </rPr>
          <t xml:space="preserve">
</t>
        </r>
        <r>
          <rPr>
            <sz val="12"/>
            <color rgb="FF000000"/>
            <rFont val="Calibri"/>
            <family val="2"/>
          </rPr>
          <t xml:space="preserve">Comment:
</t>
        </r>
        <r>
          <rPr>
            <sz val="12"/>
            <color rgb="FF000000"/>
            <rFont val="Calibri"/>
            <family val="2"/>
          </rPr>
          <t xml:space="preserve">    average of Di Lorenzo, Navel, Mermillod-Blondin</t>
        </r>
      </text>
    </comment>
    <comment ref="AA4" authorId="3" shapeId="0" xr:uid="{B2EEDDFE-EFB6-B841-B3B1-49218DCB8340}">
      <text>
        <r>
          <rPr>
            <sz val="12"/>
            <color rgb="FF000000"/>
            <rFont val="Calibri"/>
            <family val="2"/>
          </rPr>
          <t xml:space="preserve">[Threaded comment]
</t>
        </r>
        <r>
          <rPr>
            <sz val="12"/>
            <color rgb="FF000000"/>
            <rFont val="Calibri"/>
            <family val="2"/>
          </rPr>
          <t xml:space="preserve">
</t>
        </r>
        <r>
          <rPr>
            <sz val="12"/>
            <color rgb="FF000000"/>
            <rFont val="Calibri"/>
            <family val="2"/>
          </rPr>
          <t xml:space="preserve">Your version of Excel allows you to read this threaded comment; however, any edits to it will get removed if the file is opened in a newer version of Excel. Learn more: https://go.microsoft.com/fwlink/?linkid=870924
</t>
        </r>
        <r>
          <rPr>
            <sz val="12"/>
            <color rgb="FF000000"/>
            <rFont val="Calibri"/>
            <family val="2"/>
          </rPr>
          <t xml:space="preserve">
</t>
        </r>
        <r>
          <rPr>
            <sz val="12"/>
            <color rgb="FF000000"/>
            <rFont val="Calibri"/>
            <family val="2"/>
          </rPr>
          <t xml:space="preserve">Comment:
</t>
        </r>
        <r>
          <rPr>
            <sz val="12"/>
            <color rgb="FF000000"/>
            <rFont val="Calibri"/>
            <family val="2"/>
          </rPr>
          <t xml:space="preserve">    Foulquier 2010 Relating</t>
        </r>
      </text>
    </comment>
    <comment ref="AF4" authorId="4" shapeId="0" xr:uid="{D83D8722-287D-8543-91DC-DFD968583D4B}">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Equating organic carbon to biofilm, we used the growth rate measured by (Foulquier et al., 2010) of 0.35 µg C bacteria / day and using a biomass molar mass of 24.6 g/mol (see above), 1.05 mol COD/mol biomass (see above) this translates to 1.4939E-08 mol COD bacteria / day. Multiplying with an average COD bacterial dry mass of 1.0e-05 mol COD / L, yields 0.002 / day. Assuming that the maximum growth rate is 10 times as high, we set the the maximum growth rate of fauna on microorganisms to 0.02 / day.</t>
        </r>
      </text>
    </comment>
    <comment ref="K5" authorId="5" shapeId="0" xr:uid="{4DF7EAEC-CD2F-EF4A-9BF0-F3F1E42E4442}">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7.5 g COD per g humic acid derived in SI, and on sheet calculating_COD in this file</t>
        </r>
      </text>
    </comment>
    <comment ref="W5" authorId="6" shapeId="0" xr:uid="{8B1BECD1-664B-894E-902F-58308D659DA9}">
      <text>
        <r>
          <rPr>
            <sz val="12"/>
            <color rgb="FF000000"/>
            <rFont val="Calibri"/>
            <family val="2"/>
          </rPr>
          <t xml:space="preserve">[Threaded comment]
</t>
        </r>
        <r>
          <rPr>
            <sz val="12"/>
            <color rgb="FF000000"/>
            <rFont val="Calibri"/>
            <family val="2"/>
          </rPr>
          <t xml:space="preserve">
</t>
        </r>
        <r>
          <rPr>
            <sz val="12"/>
            <color rgb="FF000000"/>
            <rFont val="Calibri"/>
            <family val="2"/>
          </rPr>
          <t xml:space="preserve">Your version of Excel allows you to read this threaded comment; however, any edits to it will get removed if the file is opened in a newer version of Excel. Learn more: https://go.microsoft.com/fwlink/?linkid=870924
</t>
        </r>
        <r>
          <rPr>
            <sz val="12"/>
            <color rgb="FF000000"/>
            <rFont val="Calibri"/>
            <family val="2"/>
          </rPr>
          <t xml:space="preserve">
</t>
        </r>
        <r>
          <rPr>
            <sz val="12"/>
            <color rgb="FF000000"/>
            <rFont val="Calibri"/>
            <family val="2"/>
          </rPr>
          <t xml:space="preserve">Comment:
</t>
        </r>
        <r>
          <rPr>
            <sz val="12"/>
            <color rgb="FF000000"/>
            <rFont val="Calibri"/>
            <family val="2"/>
          </rPr>
          <t xml:space="preserve">    average of Di Lorenzo, Navel, Mermillod-Blondin</t>
        </r>
      </text>
    </comment>
    <comment ref="AA5" authorId="7" shapeId="0" xr:uid="{944B0A6E-7F35-8040-8354-541096ED2DBE}">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Foulquier 2010 Relating</t>
        </r>
      </text>
    </comment>
    <comment ref="AF5" authorId="8" shapeId="0" xr:uid="{009AF6C5-B9AC-7541-9E56-015D22C54F6F}">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Equating organic carbon to biofilm, we used the growth rate measured by (Foulquier et al., 2010) of 0.35 µg C bacteria / day and using a biomass molar mass of 24.6 g/mol (see above), 1.05 mol COD/mol biomass (see above) this translates to 1.4939E-08 mol COD bacteria / day. Multiplying with an average COD bacterial dry mass of 1.0e-05 mol COD / L, yields 0.002 / day. Assuming that the maximum growth rate is 10 times as high, we set the the maximum growth rate of fauna on microorganisms to 0.02 / day.</t>
        </r>
      </text>
    </comment>
    <comment ref="K6" authorId="9" shapeId="0" xr:uid="{0F2B29B9-EE72-C54A-8714-498DD1A3C8E0}">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7.5 g COD per g humic acid derived in SI, and on sheet calculating_COD in this file</t>
        </r>
      </text>
    </comment>
    <comment ref="W6" authorId="10" shapeId="0" xr:uid="{3C0608B8-171F-064A-822A-A3CC6DDC9FC4}">
      <text>
        <r>
          <rPr>
            <sz val="12"/>
            <color rgb="FF000000"/>
            <rFont val="Calibri"/>
            <family val="2"/>
          </rPr>
          <t xml:space="preserve">[Threaded comment]
</t>
        </r>
        <r>
          <rPr>
            <sz val="12"/>
            <color rgb="FF000000"/>
            <rFont val="Calibri"/>
            <family val="2"/>
          </rPr>
          <t xml:space="preserve">
</t>
        </r>
        <r>
          <rPr>
            <sz val="12"/>
            <color rgb="FF000000"/>
            <rFont val="Calibri"/>
            <family val="2"/>
          </rPr>
          <t xml:space="preserve">Your version of Excel allows you to read this threaded comment; however, any edits to it will get removed if the file is opened in a newer version of Excel. Learn more: https://go.microsoft.com/fwlink/?linkid=870924
</t>
        </r>
        <r>
          <rPr>
            <sz val="12"/>
            <color rgb="FF000000"/>
            <rFont val="Calibri"/>
            <family val="2"/>
          </rPr>
          <t xml:space="preserve">
</t>
        </r>
        <r>
          <rPr>
            <sz val="12"/>
            <color rgb="FF000000"/>
            <rFont val="Calibri"/>
            <family val="2"/>
          </rPr>
          <t xml:space="preserve">Comment:
</t>
        </r>
        <r>
          <rPr>
            <sz val="12"/>
            <color rgb="FF000000"/>
            <rFont val="Calibri"/>
            <family val="2"/>
          </rPr>
          <t xml:space="preserve">    average of Di Lorenzo, Navel, Mermillod-Blondin</t>
        </r>
      </text>
    </comment>
    <comment ref="AA6" authorId="11" shapeId="0" xr:uid="{4659E4E8-C0C9-CB4D-BEA9-CCB12CD16D5B}">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Foulquier 2010 Relating</t>
        </r>
      </text>
    </comment>
    <comment ref="AF6" authorId="12" shapeId="0" xr:uid="{B40E02FA-A395-684A-865E-E43D81BF9EF7}">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Equating organic carbon to biofilm, we used the growth rate measured by (Foulquier et al., 2010) of 0.35 µg C bacteria / day and using a biomass molar mass of 24.6 g/mol (see above), 1.05 mol COD/mol biomass (see above) this translates to 1.4939E-08 mol COD bacteria / day. Multiplying with an average COD bacterial dry mass of 1.0e-05 mol COD / L, yields 0.002 / day. Assuming that the maximum growth rate is 10 times as high, we set the the maximum growth rate of fauna on microorganisms to 0.02 / day.</t>
        </r>
      </text>
    </comment>
    <comment ref="K7" authorId="13" shapeId="0" xr:uid="{8AB12162-2BF7-9849-9318-3D6AC8CBAB8F}">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7.5 g COD per g humic acid derived in SI, and on sheet calculating_COD in this file</t>
        </r>
      </text>
    </comment>
    <comment ref="W7" authorId="14" shapeId="0" xr:uid="{D578DC42-15AA-9242-8F7A-DCCCBD7DB327}">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average of Di Lorenzo, Navel, Mermillod-Blondin</t>
        </r>
      </text>
    </comment>
    <comment ref="AA7" authorId="15" shapeId="0" xr:uid="{D9858DC7-D04C-4A4F-872C-0C59D675639A}">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Foulquier 2010 Relating</t>
        </r>
      </text>
    </comment>
    <comment ref="AF7" authorId="16" shapeId="0" xr:uid="{507182A8-A16E-3B46-A78B-C475F7E79FFC}">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Equating organic carbon to biofilm, we used the growth rate measured by (Foulquier et al., 2010) of 0.35 µg C bacteria / day and using a biomass molar mass of 24.6 g/mol (see above), 1.05 mol COD/mol biomass (see above) this translates to 1.4939E-08 mol COD bacteria / day. Multiplying with an average COD bacterial dry mass of 1.0e-05 mol COD / L, yields 0.002 / day. Assuming that the maximum growth rate is 10 times as high, we set the the maximum growth rate of fauna on microorganisms to 0.02 / day.</t>
        </r>
      </text>
    </comment>
    <comment ref="K8" authorId="17" shapeId="0" xr:uid="{28910C3F-267C-EF48-8C2C-F6C895522D82}">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7.5 g COD per g humic acid derived in SI, and on sheet calculating_COD in this file</t>
        </r>
      </text>
    </comment>
    <comment ref="W8" authorId="18" shapeId="0" xr:uid="{E7A076DC-8E76-1148-951F-1F3AE0C081A3}">
      <text>
        <r>
          <rPr>
            <sz val="12"/>
            <color rgb="FF000000"/>
            <rFont val="Calibri"/>
            <family val="2"/>
          </rPr>
          <t xml:space="preserve">[Threaded comment]
</t>
        </r>
        <r>
          <rPr>
            <sz val="12"/>
            <color rgb="FF000000"/>
            <rFont val="Calibri"/>
            <family val="2"/>
          </rPr>
          <t xml:space="preserve">
</t>
        </r>
        <r>
          <rPr>
            <sz val="12"/>
            <color rgb="FF000000"/>
            <rFont val="Calibri"/>
            <family val="2"/>
          </rPr>
          <t xml:space="preserve">Your version of Excel allows you to read this threaded comment; however, any edits to it will get removed if the file is opened in a newer version of Excel. Learn more: https://go.microsoft.com/fwlink/?linkid=870924
</t>
        </r>
        <r>
          <rPr>
            <sz val="12"/>
            <color rgb="FF000000"/>
            <rFont val="Calibri"/>
            <family val="2"/>
          </rPr>
          <t xml:space="preserve">
</t>
        </r>
        <r>
          <rPr>
            <sz val="12"/>
            <color rgb="FF000000"/>
            <rFont val="Calibri"/>
            <family val="2"/>
          </rPr>
          <t xml:space="preserve">Comment:
</t>
        </r>
        <r>
          <rPr>
            <sz val="12"/>
            <color rgb="FF000000"/>
            <rFont val="Calibri"/>
            <family val="2"/>
          </rPr>
          <t xml:space="preserve">    average of Di Lorenzo, Navel, Mermillod-Blondin</t>
        </r>
      </text>
    </comment>
    <comment ref="AA8" authorId="19" shapeId="0" xr:uid="{8ABD701E-78D0-4A47-8F33-59280C42BAAB}">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Foulquier 2010 Relating</t>
        </r>
      </text>
    </comment>
    <comment ref="AF8" authorId="20" shapeId="0" xr:uid="{C8D487C4-854D-254E-A24C-BB3F3463062E}">
      <text>
        <r>
          <rPr>
            <sz val="12"/>
            <color rgb="FF000000"/>
            <rFont val="Calibri"/>
            <family val="2"/>
          </rPr>
          <t xml:space="preserve">[Threaded comment]
</t>
        </r>
        <r>
          <rPr>
            <sz val="12"/>
            <color rgb="FF000000"/>
            <rFont val="Calibri"/>
            <family val="2"/>
          </rPr>
          <t xml:space="preserve">
</t>
        </r>
        <r>
          <rPr>
            <sz val="12"/>
            <color rgb="FF000000"/>
            <rFont val="Calibri"/>
            <family val="2"/>
          </rPr>
          <t xml:space="preserve">Your version of Excel allows you to read this threaded comment; however, any edits to it will get removed if the file is opened in a newer version of Excel. Learn more: https://go.microsoft.com/fwlink/?linkid=870924
</t>
        </r>
        <r>
          <rPr>
            <sz val="12"/>
            <color rgb="FF000000"/>
            <rFont val="Calibri"/>
            <family val="2"/>
          </rPr>
          <t xml:space="preserve">
</t>
        </r>
        <r>
          <rPr>
            <sz val="12"/>
            <color rgb="FF000000"/>
            <rFont val="Calibri"/>
            <family val="2"/>
          </rPr>
          <t xml:space="preserve">Comment:
</t>
        </r>
        <r>
          <rPr>
            <sz val="12"/>
            <color rgb="FF000000"/>
            <rFont val="Calibri"/>
            <family val="2"/>
          </rPr>
          <t xml:space="preserve">    Equating organic carbon to biofilm, we used the growth rate measured by (Foulquier et al., 2010) of 0.35 µg C bacteria / day and using a biomass molar mass of 24.6 g/mol (see above), 1.05 mol COD/mol biomass (see above) this translates to 1.4939E-08 mol COD bacteria / day. Multiplying with an average COD bacterial dry mass of 1.0e-05 mol COD / L, yields 0.002 / day. Assuming that the maximum growth rate is 10 times as high, we set the the maximum growth rate of fauna on microorganisms to 0.02 / day.</t>
        </r>
      </text>
    </comment>
    <comment ref="K9" authorId="21" shapeId="0" xr:uid="{E68EDC32-0C11-F24F-BC92-6599E44DEE2B}">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7.5 g COD per g humic acid derived in SI, and on sheet calculating_COD in this file</t>
        </r>
      </text>
    </comment>
    <comment ref="W9" authorId="22" shapeId="0" xr:uid="{03DDDF21-1FDE-1A44-92CB-02C9D1E67681}">
      <text>
        <r>
          <rPr>
            <sz val="12"/>
            <color rgb="FF000000"/>
            <rFont val="Calibri"/>
            <family val="2"/>
          </rPr>
          <t xml:space="preserve">[Threaded comment]
</t>
        </r>
        <r>
          <rPr>
            <sz val="12"/>
            <color rgb="FF000000"/>
            <rFont val="Calibri"/>
            <family val="2"/>
          </rPr>
          <t xml:space="preserve">
</t>
        </r>
        <r>
          <rPr>
            <sz val="12"/>
            <color rgb="FF000000"/>
            <rFont val="Calibri"/>
            <family val="2"/>
          </rPr>
          <t xml:space="preserve">Your version of Excel allows you to read this threaded comment; however, any edits to it will get removed if the file is opened in a newer version of Excel. Learn more: https://go.microsoft.com/fwlink/?linkid=870924
</t>
        </r>
        <r>
          <rPr>
            <sz val="12"/>
            <color rgb="FF000000"/>
            <rFont val="Calibri"/>
            <family val="2"/>
          </rPr>
          <t xml:space="preserve">
</t>
        </r>
        <r>
          <rPr>
            <sz val="12"/>
            <color rgb="FF000000"/>
            <rFont val="Calibri"/>
            <family val="2"/>
          </rPr>
          <t xml:space="preserve">Comment:
</t>
        </r>
        <r>
          <rPr>
            <sz val="12"/>
            <color rgb="FF000000"/>
            <rFont val="Calibri"/>
            <family val="2"/>
          </rPr>
          <t xml:space="preserve">    average of Di Lorenzo, Navel, Mermillod-Blondin</t>
        </r>
      </text>
    </comment>
    <comment ref="AA9" authorId="23" shapeId="0" xr:uid="{74D124C3-18A4-4549-83DD-7E733D9BD57D}">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Foulquier 2010 Relating</t>
        </r>
      </text>
    </comment>
    <comment ref="AF9" authorId="24" shapeId="0" xr:uid="{59162C1A-C9E9-6D46-9F9A-64B6BAFF2CAB}">
      <text>
        <r>
          <rPr>
            <sz val="12"/>
            <color rgb="FF000000"/>
            <rFont val="Calibri"/>
            <family val="2"/>
          </rPr>
          <t xml:space="preserve">[Threaded comment]
</t>
        </r>
        <r>
          <rPr>
            <sz val="12"/>
            <color rgb="FF000000"/>
            <rFont val="Calibri"/>
            <family val="2"/>
          </rPr>
          <t xml:space="preserve">
</t>
        </r>
        <r>
          <rPr>
            <sz val="12"/>
            <color rgb="FF000000"/>
            <rFont val="Calibri"/>
            <family val="2"/>
          </rPr>
          <t xml:space="preserve">Your version of Excel allows you to read this threaded comment; however, any edits to it will get removed if the file is opened in a newer version of Excel. Learn more: https://go.microsoft.com/fwlink/?linkid=870924
</t>
        </r>
        <r>
          <rPr>
            <sz val="12"/>
            <color rgb="FF000000"/>
            <rFont val="Calibri"/>
            <family val="2"/>
          </rPr>
          <t xml:space="preserve">
</t>
        </r>
        <r>
          <rPr>
            <sz val="12"/>
            <color rgb="FF000000"/>
            <rFont val="Calibri"/>
            <family val="2"/>
          </rPr>
          <t xml:space="preserve">Comment:
</t>
        </r>
        <r>
          <rPr>
            <sz val="12"/>
            <color rgb="FF000000"/>
            <rFont val="Calibri"/>
            <family val="2"/>
          </rPr>
          <t xml:space="preserve">    Equating organic carbon to biofilm, we used the growth rate measured by (Foulquier et al., 2010) of 0.35 µg C bacteria / day and using a biomass molar mass of 24.6 g/mol (see above), 1.05 mol COD/mol biomass (see above) this translates to 1.4939E-08 mol COD bacteria / day. Multiplying with an average COD bacterial dry mass of 1.0e-05 mol COD / L, yields 0.002 / day. Assuming that the maximum growth rate is 10 times as high, we set the the maximum growth rate of fauna on microorganisms to 0.02 / day.</t>
        </r>
      </text>
    </comment>
    <comment ref="K10" authorId="21" shapeId="0" xr:uid="{2E79ADF3-A555-45DE-A94C-CB7982584A56}">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7.5 g COD per g humic acid derived in SI, and on sheet calculating_COD in this file</t>
        </r>
      </text>
    </comment>
    <comment ref="W10" authorId="22" shapeId="0" xr:uid="{EFA8EC15-6E5D-4B16-B46D-FA1A0144C7C4}">
      <text>
        <r>
          <rPr>
            <sz val="12"/>
            <color rgb="FF000000"/>
            <rFont val="Calibri"/>
            <family val="2"/>
          </rPr>
          <t xml:space="preserve">[Threaded comment]
</t>
        </r>
        <r>
          <rPr>
            <sz val="12"/>
            <color rgb="FF000000"/>
            <rFont val="Calibri"/>
            <family val="2"/>
          </rPr>
          <t xml:space="preserve">
</t>
        </r>
        <r>
          <rPr>
            <sz val="12"/>
            <color rgb="FF000000"/>
            <rFont val="Calibri"/>
            <family val="2"/>
          </rPr>
          <t xml:space="preserve">Your version of Excel allows you to read this threaded comment; however, any edits to it will get removed if the file is opened in a newer version of Excel. Learn more: https://go.microsoft.com/fwlink/?linkid=870924
</t>
        </r>
        <r>
          <rPr>
            <sz val="12"/>
            <color rgb="FF000000"/>
            <rFont val="Calibri"/>
            <family val="2"/>
          </rPr>
          <t xml:space="preserve">
</t>
        </r>
        <r>
          <rPr>
            <sz val="12"/>
            <color rgb="FF000000"/>
            <rFont val="Calibri"/>
            <family val="2"/>
          </rPr>
          <t xml:space="preserve">Comment:
</t>
        </r>
        <r>
          <rPr>
            <sz val="12"/>
            <color rgb="FF000000"/>
            <rFont val="Calibri"/>
            <family val="2"/>
          </rPr>
          <t xml:space="preserve">    average of Di Lorenzo, Navel, Mermillod-Blondin</t>
        </r>
      </text>
    </comment>
    <comment ref="AA10" authorId="23" shapeId="0" xr:uid="{5E9B9DF4-3124-4011-8650-F6C413EFC23B}">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Foulquier 2010 Relating</t>
        </r>
      </text>
    </comment>
    <comment ref="AF10" authorId="24" shapeId="0" xr:uid="{FD6930BF-6346-42D5-92D3-2FDEDA69C33D}">
      <text>
        <r>
          <rPr>
            <sz val="12"/>
            <color rgb="FF000000"/>
            <rFont val="Calibri"/>
            <family val="2"/>
          </rPr>
          <t xml:space="preserve">[Threaded comment]
</t>
        </r>
        <r>
          <rPr>
            <sz val="12"/>
            <color rgb="FF000000"/>
            <rFont val="Calibri"/>
            <family val="2"/>
          </rPr>
          <t xml:space="preserve">
</t>
        </r>
        <r>
          <rPr>
            <sz val="12"/>
            <color rgb="FF000000"/>
            <rFont val="Calibri"/>
            <family val="2"/>
          </rPr>
          <t xml:space="preserve">Your version of Excel allows you to read this threaded comment; however, any edits to it will get removed if the file is opened in a newer version of Excel. Learn more: https://go.microsoft.com/fwlink/?linkid=870924
</t>
        </r>
        <r>
          <rPr>
            <sz val="12"/>
            <color rgb="FF000000"/>
            <rFont val="Calibri"/>
            <family val="2"/>
          </rPr>
          <t xml:space="preserve">
</t>
        </r>
        <r>
          <rPr>
            <sz val="12"/>
            <color rgb="FF000000"/>
            <rFont val="Calibri"/>
            <family val="2"/>
          </rPr>
          <t xml:space="preserve">Comment:
</t>
        </r>
        <r>
          <rPr>
            <sz val="12"/>
            <color rgb="FF000000"/>
            <rFont val="Calibri"/>
            <family val="2"/>
          </rPr>
          <t xml:space="preserve">    Equating organic carbon to biofilm, we used the growth rate measured by (Foulquier et al., 2010) of 0.35 µg C bacteria / day and using a biomass molar mass of 24.6 g/mol (see above), 1.05 mol COD/mol biomass (see above) this translates to 1.4939E-08 mol COD bacteria / day. Multiplying with an average COD bacterial dry mass of 1.0e-05 mol COD / L, yields 0.002 / day. Assuming that the maximum growth rate is 10 times as high, we set the the maximum growth rate of fauna on microorganisms to 0.02 / day.</t>
        </r>
      </text>
    </comment>
    <comment ref="K11" authorId="21" shapeId="0" xr:uid="{479DCC54-EFB5-4029-A8A1-A7B9AA4A2D71}">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7.5 g COD per g humic acid derived in SI, and on sheet calculating_COD in this file</t>
        </r>
      </text>
    </comment>
    <comment ref="W11" authorId="22" shapeId="0" xr:uid="{1394A269-74DE-46A3-AF1E-00ED042DEDC4}">
      <text>
        <r>
          <rPr>
            <sz val="12"/>
            <color rgb="FF000000"/>
            <rFont val="Calibri"/>
            <family val="2"/>
          </rPr>
          <t xml:space="preserve">[Threaded comment]
</t>
        </r>
        <r>
          <rPr>
            <sz val="12"/>
            <color rgb="FF000000"/>
            <rFont val="Calibri"/>
            <family val="2"/>
          </rPr>
          <t xml:space="preserve">
</t>
        </r>
        <r>
          <rPr>
            <sz val="12"/>
            <color rgb="FF000000"/>
            <rFont val="Calibri"/>
            <family val="2"/>
          </rPr>
          <t xml:space="preserve">Your version of Excel allows you to read this threaded comment; however, any edits to it will get removed if the file is opened in a newer version of Excel. Learn more: https://go.microsoft.com/fwlink/?linkid=870924
</t>
        </r>
        <r>
          <rPr>
            <sz val="12"/>
            <color rgb="FF000000"/>
            <rFont val="Calibri"/>
            <family val="2"/>
          </rPr>
          <t xml:space="preserve">
</t>
        </r>
        <r>
          <rPr>
            <sz val="12"/>
            <color rgb="FF000000"/>
            <rFont val="Calibri"/>
            <family val="2"/>
          </rPr>
          <t xml:space="preserve">Comment:
</t>
        </r>
        <r>
          <rPr>
            <sz val="12"/>
            <color rgb="FF000000"/>
            <rFont val="Calibri"/>
            <family val="2"/>
          </rPr>
          <t xml:space="preserve">    average of Di Lorenzo, Navel, Mermillod-Blondin</t>
        </r>
      </text>
    </comment>
    <comment ref="AA11" authorId="23" shapeId="0" xr:uid="{DD778B4E-FBBE-482A-A38D-F6A2FD45AD3D}">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Foulquier 2010 Relating</t>
        </r>
      </text>
    </comment>
    <comment ref="AF11" authorId="24" shapeId="0" xr:uid="{125C2159-6A41-496C-957A-98F84A831963}">
      <text>
        <r>
          <rPr>
            <sz val="12"/>
            <color rgb="FF000000"/>
            <rFont val="Calibri"/>
            <family val="2"/>
          </rPr>
          <t xml:space="preserve">[Threaded comment]
</t>
        </r>
        <r>
          <rPr>
            <sz val="12"/>
            <color rgb="FF000000"/>
            <rFont val="Calibri"/>
            <family val="2"/>
          </rPr>
          <t xml:space="preserve">
</t>
        </r>
        <r>
          <rPr>
            <sz val="12"/>
            <color rgb="FF000000"/>
            <rFont val="Calibri"/>
            <family val="2"/>
          </rPr>
          <t xml:space="preserve">Your version of Excel allows you to read this threaded comment; however, any edits to it will get removed if the file is opened in a newer version of Excel. Learn more: https://go.microsoft.com/fwlink/?linkid=870924
</t>
        </r>
        <r>
          <rPr>
            <sz val="12"/>
            <color rgb="FF000000"/>
            <rFont val="Calibri"/>
            <family val="2"/>
          </rPr>
          <t xml:space="preserve">
</t>
        </r>
        <r>
          <rPr>
            <sz val="12"/>
            <color rgb="FF000000"/>
            <rFont val="Calibri"/>
            <family val="2"/>
          </rPr>
          <t xml:space="preserve">Comment:
</t>
        </r>
        <r>
          <rPr>
            <sz val="12"/>
            <color rgb="FF000000"/>
            <rFont val="Calibri"/>
            <family val="2"/>
          </rPr>
          <t xml:space="preserve">    Equating organic carbon to biofilm, we used the growth rate measured by (Foulquier et al., 2010) of 0.35 µg C bacteria / day and using a biomass molar mass of 24.6 g/mol (see above), 1.05 mol COD/mol biomass (see above) this translates to 1.4939E-08 mol COD bacteria / day. Multiplying with an average COD bacterial dry mass of 1.0e-05 mol COD / L, yields 0.002 / day. Assuming that the maximum growth rate is 10 times as high, we set the the maximum growth rate of fauna on microorganisms to 0.02 / day.</t>
        </r>
      </text>
    </comment>
    <comment ref="K12" authorId="21" shapeId="0" xr:uid="{3F53A83B-45F2-42F2-A9B5-E8DA49791B2C}">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7.5 g COD per g humic acid derived in SI, and on sheet calculating_COD in this file</t>
        </r>
      </text>
    </comment>
    <comment ref="W12" authorId="22" shapeId="0" xr:uid="{7796FD16-CEF0-4762-99E2-2FEC910B3B1D}">
      <text>
        <r>
          <rPr>
            <sz val="12"/>
            <color rgb="FF000000"/>
            <rFont val="Calibri"/>
            <family val="2"/>
          </rPr>
          <t xml:space="preserve">[Threaded comment]
</t>
        </r>
        <r>
          <rPr>
            <sz val="12"/>
            <color rgb="FF000000"/>
            <rFont val="Calibri"/>
            <family val="2"/>
          </rPr>
          <t xml:space="preserve">
</t>
        </r>
        <r>
          <rPr>
            <sz val="12"/>
            <color rgb="FF000000"/>
            <rFont val="Calibri"/>
            <family val="2"/>
          </rPr>
          <t xml:space="preserve">Your version of Excel allows you to read this threaded comment; however, any edits to it will get removed if the file is opened in a newer version of Excel. Learn more: https://go.microsoft.com/fwlink/?linkid=870924
</t>
        </r>
        <r>
          <rPr>
            <sz val="12"/>
            <color rgb="FF000000"/>
            <rFont val="Calibri"/>
            <family val="2"/>
          </rPr>
          <t xml:space="preserve">
</t>
        </r>
        <r>
          <rPr>
            <sz val="12"/>
            <color rgb="FF000000"/>
            <rFont val="Calibri"/>
            <family val="2"/>
          </rPr>
          <t xml:space="preserve">Comment:
</t>
        </r>
        <r>
          <rPr>
            <sz val="12"/>
            <color rgb="FF000000"/>
            <rFont val="Calibri"/>
            <family val="2"/>
          </rPr>
          <t xml:space="preserve">    average of Di Lorenzo, Navel, Mermillod-Blondin</t>
        </r>
      </text>
    </comment>
    <comment ref="AA12" authorId="23" shapeId="0" xr:uid="{5F6BAB42-F9A7-4880-A8DF-F9E5F4DEAA58}">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Foulquier 2010 Relating</t>
        </r>
      </text>
    </comment>
    <comment ref="AF12" authorId="24" shapeId="0" xr:uid="{A6C2F603-09FF-44E5-B2D4-65A036090CD5}">
      <text>
        <r>
          <rPr>
            <sz val="12"/>
            <color rgb="FF000000"/>
            <rFont val="Calibri"/>
            <family val="2"/>
          </rPr>
          <t xml:space="preserve">[Threaded comment]
</t>
        </r>
        <r>
          <rPr>
            <sz val="12"/>
            <color rgb="FF000000"/>
            <rFont val="Calibri"/>
            <family val="2"/>
          </rPr>
          <t xml:space="preserve">
</t>
        </r>
        <r>
          <rPr>
            <sz val="12"/>
            <color rgb="FF000000"/>
            <rFont val="Calibri"/>
            <family val="2"/>
          </rPr>
          <t xml:space="preserve">Your version of Excel allows you to read this threaded comment; however, any edits to it will get removed if the file is opened in a newer version of Excel. Learn more: https://go.microsoft.com/fwlink/?linkid=870924
</t>
        </r>
        <r>
          <rPr>
            <sz val="12"/>
            <color rgb="FF000000"/>
            <rFont val="Calibri"/>
            <family val="2"/>
          </rPr>
          <t xml:space="preserve">
</t>
        </r>
        <r>
          <rPr>
            <sz val="12"/>
            <color rgb="FF000000"/>
            <rFont val="Calibri"/>
            <family val="2"/>
          </rPr>
          <t xml:space="preserve">Comment:
</t>
        </r>
        <r>
          <rPr>
            <sz val="12"/>
            <color rgb="FF000000"/>
            <rFont val="Calibri"/>
            <family val="2"/>
          </rPr>
          <t xml:space="preserve">    Equating organic carbon to biofilm, we used the growth rate measured by (Foulquier et al., 2010) of 0.35 µg C bacteria / day and using a biomass molar mass of 24.6 g/mol (see above), 1.05 mol COD/mol biomass (see above) this translates to 1.4939E-08 mol COD bacteria / day. Multiplying with an average COD bacterial dry mass of 1.0e-05 mol COD / L, yields 0.002 / day. Assuming that the maximum growth rate is 10 times as high, we set the the maximum growth rate of fauna on microorganisms to 0.02 / day.</t>
        </r>
      </text>
    </comment>
    <comment ref="K13" authorId="21" shapeId="0" xr:uid="{A3E0CE26-0E37-40C5-8381-C747D12AA79B}">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7.5 g COD per g humic acid derived in SI, and on sheet calculating_COD in this file</t>
        </r>
      </text>
    </comment>
    <comment ref="W13" authorId="22" shapeId="0" xr:uid="{2919B58E-683F-4CF6-8A4B-E8E10D4282EE}">
      <text>
        <r>
          <rPr>
            <sz val="12"/>
            <color rgb="FF000000"/>
            <rFont val="Calibri"/>
            <family val="2"/>
          </rPr>
          <t xml:space="preserve">[Threaded comment]
</t>
        </r>
        <r>
          <rPr>
            <sz val="12"/>
            <color rgb="FF000000"/>
            <rFont val="Calibri"/>
            <family val="2"/>
          </rPr>
          <t xml:space="preserve">
</t>
        </r>
        <r>
          <rPr>
            <sz val="12"/>
            <color rgb="FF000000"/>
            <rFont val="Calibri"/>
            <family val="2"/>
          </rPr>
          <t xml:space="preserve">Your version of Excel allows you to read this threaded comment; however, any edits to it will get removed if the file is opened in a newer version of Excel. Learn more: https://go.microsoft.com/fwlink/?linkid=870924
</t>
        </r>
        <r>
          <rPr>
            <sz val="12"/>
            <color rgb="FF000000"/>
            <rFont val="Calibri"/>
            <family val="2"/>
          </rPr>
          <t xml:space="preserve">
</t>
        </r>
        <r>
          <rPr>
            <sz val="12"/>
            <color rgb="FF000000"/>
            <rFont val="Calibri"/>
            <family val="2"/>
          </rPr>
          <t xml:space="preserve">Comment:
</t>
        </r>
        <r>
          <rPr>
            <sz val="12"/>
            <color rgb="FF000000"/>
            <rFont val="Calibri"/>
            <family val="2"/>
          </rPr>
          <t xml:space="preserve">    average of Di Lorenzo, Navel, Mermillod-Blondin</t>
        </r>
      </text>
    </comment>
    <comment ref="AA13" authorId="23" shapeId="0" xr:uid="{131DF270-3C73-49B5-BD68-1F49168AEBBC}">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Foulquier 2010 Relating</t>
        </r>
      </text>
    </comment>
    <comment ref="AF13" authorId="24" shapeId="0" xr:uid="{B81F7C15-5FA5-4154-852C-1E0CA3F919A7}">
      <text>
        <r>
          <rPr>
            <sz val="12"/>
            <color rgb="FF000000"/>
            <rFont val="Calibri"/>
            <family val="2"/>
          </rPr>
          <t xml:space="preserve">[Threaded comment]
</t>
        </r>
        <r>
          <rPr>
            <sz val="12"/>
            <color rgb="FF000000"/>
            <rFont val="Calibri"/>
            <family val="2"/>
          </rPr>
          <t xml:space="preserve">
</t>
        </r>
        <r>
          <rPr>
            <sz val="12"/>
            <color rgb="FF000000"/>
            <rFont val="Calibri"/>
            <family val="2"/>
          </rPr>
          <t xml:space="preserve">Your version of Excel allows you to read this threaded comment; however, any edits to it will get removed if the file is opened in a newer version of Excel. Learn more: https://go.microsoft.com/fwlink/?linkid=870924
</t>
        </r>
        <r>
          <rPr>
            <sz val="12"/>
            <color rgb="FF000000"/>
            <rFont val="Calibri"/>
            <family val="2"/>
          </rPr>
          <t xml:space="preserve">
</t>
        </r>
        <r>
          <rPr>
            <sz val="12"/>
            <color rgb="FF000000"/>
            <rFont val="Calibri"/>
            <family val="2"/>
          </rPr>
          <t xml:space="preserve">Comment:
</t>
        </r>
        <r>
          <rPr>
            <sz val="12"/>
            <color rgb="FF000000"/>
            <rFont val="Calibri"/>
            <family val="2"/>
          </rPr>
          <t xml:space="preserve">    Equating organic carbon to biofilm, we used the growth rate measured by (Foulquier et al., 2010) of 0.35 µg C bacteria / day and using a biomass molar mass of 24.6 g/mol (see above), 1.05 mol COD/mol biomass (see above) this translates to 1.4939E-08 mol COD bacteria / day. Multiplying with an average COD bacterial dry mass of 1.0e-05 mol COD / L, yields 0.002 / day. Assuming that the maximum growth rate is 10 times as high, we set the the maximum growth rate of fauna on microorganisms to 0.02 / day.</t>
        </r>
      </text>
    </comment>
  </commentList>
</comments>
</file>

<file path=xl/sharedStrings.xml><?xml version="1.0" encoding="utf-8"?>
<sst xmlns="http://schemas.openxmlformats.org/spreadsheetml/2006/main" count="264" uniqueCount="199">
  <si>
    <t>variable_parameter</t>
  </si>
  <si>
    <t>unit</t>
  </si>
  <si>
    <t>notes</t>
  </si>
  <si>
    <t>day</t>
  </si>
  <si>
    <t>dt</t>
  </si>
  <si>
    <t>depth of gw aquifer, in order to derive volume to which to relate input of moles</t>
  </si>
  <si>
    <t>aquifer_depth</t>
  </si>
  <si>
    <t>run</t>
  </si>
  <si>
    <t>m</t>
  </si>
  <si>
    <t>import_MO_het</t>
  </si>
  <si>
    <t>choose 1 for with fauna, or 0 for without fauna - for comparing scenarios</t>
  </si>
  <si>
    <t>scenario_with_1_or_without_0_fauna</t>
  </si>
  <si>
    <t>scenario_with_1_or_without_0_MO</t>
  </si>
  <si>
    <t>mortalityRate</t>
  </si>
  <si>
    <t>import_fauna</t>
  </si>
  <si>
    <t>yield_ac</t>
  </si>
  <si>
    <t>k_temp</t>
  </si>
  <si>
    <t>temperature at which lab measurements</t>
  </si>
  <si>
    <t>deg C</t>
  </si>
  <si>
    <t>K_ac</t>
  </si>
  <si>
    <t>K_MO_at_temp</t>
  </si>
  <si>
    <t>rMO_COD_uptake_h_at_lab_temperature</t>
  </si>
  <si>
    <t>rMO_COD_uptake_per_day_at_lab_temperature</t>
  </si>
  <si>
    <t>rFauna_MO_uptake_per_day_at_TEMP</t>
  </si>
  <si>
    <t>k1</t>
  </si>
  <si>
    <t>per day</t>
  </si>
  <si>
    <t>excretionRate</t>
  </si>
  <si>
    <t>/day</t>
  </si>
  <si>
    <t>TOC_mol_m2_yr_precipitation</t>
  </si>
  <si>
    <t>mol / m2 / year</t>
  </si>
  <si>
    <t>factor_how_many_times_Detritus_compared_to_TOC</t>
  </si>
  <si>
    <t>time step</t>
  </si>
  <si>
    <t>yield_MO</t>
  </si>
  <si>
    <t>TOC_COD_mol_m2_yr_precipitation</t>
  </si>
  <si>
    <t>https://en.wikipedia.org/wiki/Chemical_oxygen_demand</t>
  </si>
  <si>
    <t>formula</t>
  </si>
  <si>
    <t>a</t>
  </si>
  <si>
    <t>b</t>
  </si>
  <si>
    <t>c</t>
  </si>
  <si>
    <t>n</t>
  </si>
  <si>
    <t>C6H12O6N1</t>
  </si>
  <si>
    <t>g/mol</t>
  </si>
  <si>
    <t>COD [mol O2 per mol substrate]</t>
  </si>
  <si>
    <t xml:space="preserve"> this is a rough estimate and therefore is not real-temperature-adjusted at this stage</t>
  </si>
  <si>
    <t>average_precipitation_mm_yr</t>
  </si>
  <si>
    <t xml:space="preserve">mm /  year </t>
  </si>
  <si>
    <t>TOC_COD_mol_m3_precipitation</t>
  </si>
  <si>
    <t>Detritus_COD_mol_m3_precipitation</t>
  </si>
  <si>
    <t>rMO_acetate_uptake_h_at_lab_temperature</t>
  </si>
  <si>
    <t>through soil passage, the TOC from precipitation is degraded, but detritus is mobilised ; assuming "factor_how_many_times_Detritus_compared_to_TOC" times as much detritus mobilized as TOC from preciptation</t>
  </si>
  <si>
    <t>temperature_scenario</t>
  </si>
  <si>
    <t>0 = actually measured data; any other number: increase of temperature by this value</t>
  </si>
  <si>
    <t>HMML</t>
  </si>
  <si>
    <t>factor_CC_MO</t>
  </si>
  <si>
    <t>factor_CC_fauna</t>
  </si>
  <si>
    <t>growth_model_MO</t>
  </si>
  <si>
    <t>growth_model_fauna</t>
  </si>
  <si>
    <t>molar mass g / mol</t>
  </si>
  <si>
    <t>microbe_loss_factor_when_no_fauna</t>
  </si>
  <si>
    <t>/(molCOD/L)/ day</t>
  </si>
  <si>
    <t>humic acid</t>
  </si>
  <si>
    <t>C9H9NO6, and an average mass of 227.172 g / mol (ID: 32820151; https://www.chemspider.com/Chemical-Structure.32820151.html</t>
  </si>
  <si>
    <t>i.e. 7.5 mole O2 for each mole organics</t>
  </si>
  <si>
    <t>acetate</t>
  </si>
  <si>
    <t>i.e. 2.25 mole O2 for each mole organics</t>
  </si>
  <si>
    <t xml:space="preserve"> C2H4O2N0</t>
  </si>
  <si>
    <r>
      <t>It was assumed that biomass can be summarized with an average composition oC</t>
    </r>
    <r>
      <rPr>
        <vertAlign val="subscript"/>
        <sz val="12"/>
        <color theme="1"/>
        <rFont val="Calibri"/>
        <family val="2"/>
        <scheme val="minor"/>
      </rPr>
      <t>1</t>
    </r>
    <r>
      <rPr>
        <sz val="12"/>
        <color theme="1"/>
        <rFont val="Calibri"/>
        <family val="2"/>
        <scheme val="minor"/>
      </rPr>
      <t xml:space="preserve"> H</t>
    </r>
    <r>
      <rPr>
        <vertAlign val="subscript"/>
        <sz val="12"/>
        <color theme="1"/>
        <rFont val="Calibri"/>
        <family val="2"/>
        <scheme val="minor"/>
      </rPr>
      <t>1.8</t>
    </r>
    <r>
      <rPr>
        <sz val="12"/>
        <color theme="1"/>
        <rFont val="Calibri"/>
        <family val="2"/>
        <scheme val="minor"/>
      </rPr>
      <t xml:space="preserve"> O</t>
    </r>
    <r>
      <rPr>
        <vertAlign val="subscript"/>
        <sz val="12"/>
        <color theme="1"/>
        <rFont val="Calibri"/>
        <family val="2"/>
        <scheme val="minor"/>
      </rPr>
      <t>0.5</t>
    </r>
    <r>
      <rPr>
        <sz val="12"/>
        <color theme="1"/>
        <rFont val="Calibri"/>
        <family val="2"/>
        <scheme val="minor"/>
      </rPr>
      <t xml:space="preserve"> N</t>
    </r>
    <r>
      <rPr>
        <vertAlign val="subscript"/>
        <sz val="12"/>
        <color theme="1"/>
        <rFont val="Calibri"/>
        <family val="2"/>
        <scheme val="minor"/>
      </rPr>
      <t>0.2</t>
    </r>
    <r>
      <rPr>
        <sz val="12"/>
        <color theme="1"/>
        <rFont val="Calibri"/>
        <family val="2"/>
        <scheme val="minor"/>
      </rPr>
      <t xml:space="preserve"> (Heijnen, 2006)</t>
    </r>
    <r>
      <rPr>
        <sz val="8"/>
        <color theme="1"/>
        <rFont val="Calibri"/>
        <family val="2"/>
        <scheme val="minor"/>
      </rPr>
      <t> </t>
    </r>
    <r>
      <rPr>
        <sz val="12"/>
        <color theme="1"/>
        <rFont val="Calibri"/>
        <family val="2"/>
        <scheme val="minor"/>
      </rPr>
      <t>. Thus, the stoichiometry for the complete oxidation of biomass was derived as C</t>
    </r>
    <r>
      <rPr>
        <vertAlign val="subscript"/>
        <sz val="12"/>
        <color theme="1"/>
        <rFont val="Calibri"/>
        <family val="2"/>
        <scheme val="minor"/>
      </rPr>
      <t>1</t>
    </r>
    <r>
      <rPr>
        <sz val="12"/>
        <color theme="1"/>
        <rFont val="Calibri"/>
        <family val="2"/>
        <scheme val="minor"/>
      </rPr>
      <t xml:space="preserve"> H</t>
    </r>
    <r>
      <rPr>
        <vertAlign val="subscript"/>
        <sz val="12"/>
        <color theme="1"/>
        <rFont val="Calibri"/>
        <family val="2"/>
        <scheme val="minor"/>
      </rPr>
      <t>1.8</t>
    </r>
    <r>
      <rPr>
        <sz val="12"/>
        <color theme="1"/>
        <rFont val="Calibri"/>
        <family val="2"/>
        <scheme val="minor"/>
      </rPr>
      <t xml:space="preserve"> O</t>
    </r>
    <r>
      <rPr>
        <vertAlign val="subscript"/>
        <sz val="12"/>
        <color theme="1"/>
        <rFont val="Calibri"/>
        <family val="2"/>
        <scheme val="minor"/>
      </rPr>
      <t>0.5</t>
    </r>
    <r>
      <rPr>
        <sz val="12"/>
        <color theme="1"/>
        <rFont val="Calibri"/>
        <family val="2"/>
        <scheme val="minor"/>
      </rPr>
      <t xml:space="preserve"> N</t>
    </r>
    <r>
      <rPr>
        <vertAlign val="subscript"/>
        <sz val="12"/>
        <color theme="1"/>
        <rFont val="Calibri"/>
        <family val="2"/>
        <scheme val="minor"/>
      </rPr>
      <t>0.2</t>
    </r>
    <r>
      <rPr>
        <sz val="12"/>
        <color theme="1"/>
        <rFont val="Calibri"/>
        <family val="2"/>
        <scheme val="minor"/>
      </rPr>
      <t xml:space="preserve"> + 1.45 O</t>
    </r>
    <r>
      <rPr>
        <vertAlign val="subscript"/>
        <sz val="12"/>
        <color theme="1"/>
        <rFont val="Calibri"/>
        <family val="2"/>
        <scheme val="minor"/>
      </rPr>
      <t>2</t>
    </r>
    <r>
      <rPr>
        <sz val="12"/>
        <color theme="1"/>
        <rFont val="Calibri"/>
        <family val="2"/>
        <scheme val="minor"/>
      </rPr>
      <t xml:space="preserve"> →  CO</t>
    </r>
    <r>
      <rPr>
        <vertAlign val="subscript"/>
        <sz val="12"/>
        <color theme="1"/>
        <rFont val="Calibri"/>
        <family val="2"/>
        <scheme val="minor"/>
      </rPr>
      <t>2</t>
    </r>
    <r>
      <rPr>
        <sz val="12"/>
        <color theme="1"/>
        <rFont val="Calibri"/>
        <family val="2"/>
        <scheme val="minor"/>
      </rPr>
      <t xml:space="preserve"> + 0.8 H</t>
    </r>
    <r>
      <rPr>
        <vertAlign val="subscript"/>
        <sz val="12"/>
        <color theme="1"/>
        <rFont val="Calibri"/>
        <family val="2"/>
        <scheme val="minor"/>
      </rPr>
      <t>2</t>
    </r>
    <r>
      <rPr>
        <sz val="12"/>
        <color theme="1"/>
        <rFont val="Calibri"/>
        <family val="2"/>
        <scheme val="minor"/>
      </rPr>
      <t>O + 0.2 HNO</t>
    </r>
    <r>
      <rPr>
        <vertAlign val="subscript"/>
        <sz val="12"/>
        <color theme="1"/>
        <rFont val="Calibri"/>
        <family val="2"/>
        <scheme val="minor"/>
      </rPr>
      <t>3</t>
    </r>
    <r>
      <rPr>
        <sz val="12"/>
        <color theme="1"/>
        <rFont val="Calibri"/>
        <family val="2"/>
        <scheme val="minor"/>
      </rPr>
      <t>. This means that 1.45 moles of O2 are needed for the oxidation of biomass, thus 1.45 g COD / g biomass</t>
    </r>
  </si>
  <si>
    <t xml:space="preserve">C1 H1.8 O0.5 N0.2 </t>
  </si>
  <si>
    <t>C9H9O6N1 + ((36+9-12-3)/4)O2 --&gt; 9CO2 + 3H2O + 1NH3</t>
  </si>
  <si>
    <t>C9H9O6N1 + 7.5 O2 --&gt; 9CO2 + 3H2O + 1NH3</t>
  </si>
  <si>
    <t>C9H9O6N1 + (9+9/4-12/4-3/4*1)O2 --&gt; 9CO2 + (9/2 - 3/2*1)H2O + 1NH3</t>
  </si>
  <si>
    <t>C2H4O2N0 + (2+4/4-3/4)O2 --&gt; 9CO2 + (4/2 - 3/2*1)H2O + 1NH3</t>
  </si>
  <si>
    <t>O</t>
  </si>
  <si>
    <t>C1 H1.8 O0.5 N0.2  + 1.05O2 --&gt; 1CO2 + .6H2O + .2NH3</t>
  </si>
  <si>
    <t>C1 H1.8 O0.5 N0.2  + (1+1.8/4 -  .5/2 -3/4*.2)O2 --&gt; 1CO2 + (1.8/2 - 3/2*.2)H2O + .2NH3</t>
  </si>
  <si>
    <r>
      <t>C1 H1.8 O0.5 N0.2  + 1.05O2 --&gt; 1CO2 + .6H2O + .2</t>
    </r>
    <r>
      <rPr>
        <sz val="12"/>
        <color rgb="FFFF0000"/>
        <rFont val="Calibri (Textkörper)"/>
      </rPr>
      <t>NH3</t>
    </r>
  </si>
  <si>
    <t>note</t>
  </si>
  <si>
    <t xml:space="preserve"> flux mole / m^2/year divided by (precipitatoin in L/m^2/year divided by 1000)</t>
  </si>
  <si>
    <t xml:space="preserve">  mol /  L</t>
  </si>
  <si>
    <t>TOC_COD_mol_per_L_precipitation</t>
  </si>
  <si>
    <t>TOC_mol_per_m3_precipitation</t>
  </si>
  <si>
    <t>molar mass</t>
  </si>
  <si>
    <t xml:space="preserve"> mol COD drymass_MO  mol COD acetate^-1</t>
  </si>
  <si>
    <r>
      <rPr>
        <b/>
        <sz val="12"/>
        <color theme="1"/>
        <rFont val="Calibri"/>
        <family val="2"/>
        <scheme val="minor"/>
      </rPr>
      <t>biomass</t>
    </r>
    <r>
      <rPr>
        <sz val="12"/>
        <color theme="1"/>
        <rFont val="Calibri"/>
        <family val="2"/>
        <scheme val="minor"/>
      </rPr>
      <t xml:space="preserve"> C5 H7 O2 N (Grady, 2011)</t>
    </r>
  </si>
  <si>
    <r>
      <t>Thus, the stoichiometry for the complete oxidation of biomass was derived as C5 H7 O2 N + 1.45 O</t>
    </r>
    <r>
      <rPr>
        <vertAlign val="subscript"/>
        <sz val="12"/>
        <color theme="1"/>
        <rFont val="Calibri"/>
        <family val="2"/>
        <scheme val="minor"/>
      </rPr>
      <t>2</t>
    </r>
    <r>
      <rPr>
        <sz val="12"/>
        <color theme="1"/>
        <rFont val="Calibri"/>
        <family val="2"/>
        <scheme val="minor"/>
      </rPr>
      <t xml:space="preserve"> →  CO</t>
    </r>
    <r>
      <rPr>
        <vertAlign val="subscript"/>
        <sz val="12"/>
        <color theme="1"/>
        <rFont val="Calibri"/>
        <family val="2"/>
        <scheme val="minor"/>
      </rPr>
      <t>2</t>
    </r>
    <r>
      <rPr>
        <sz val="12"/>
        <color theme="1"/>
        <rFont val="Calibri"/>
        <family val="2"/>
        <scheme val="minor"/>
      </rPr>
      <t xml:space="preserve"> + 0.8 H</t>
    </r>
    <r>
      <rPr>
        <vertAlign val="subscript"/>
        <sz val="12"/>
        <color theme="1"/>
        <rFont val="Calibri"/>
        <family val="2"/>
        <scheme val="minor"/>
      </rPr>
      <t>2</t>
    </r>
    <r>
      <rPr>
        <sz val="12"/>
        <color theme="1"/>
        <rFont val="Calibri"/>
        <family val="2"/>
        <scheme val="minor"/>
      </rPr>
      <t>O + 0.2 HNO</t>
    </r>
    <r>
      <rPr>
        <vertAlign val="subscript"/>
        <sz val="12"/>
        <color theme="1"/>
        <rFont val="Calibri"/>
        <family val="2"/>
        <scheme val="minor"/>
      </rPr>
      <t>3</t>
    </r>
    <r>
      <rPr>
        <sz val="12"/>
        <color theme="1"/>
        <rFont val="Calibri"/>
        <family val="2"/>
        <scheme val="minor"/>
      </rPr>
      <t>. This means that 1.45 moles of O2 are needed for the oxidation of biomass, thus 1.45 g COD / g biomass</t>
    </r>
  </si>
  <si>
    <t>C5 H7 O2 N  + (5+7/4 -  2/2 -3/2*1)O2 --&gt; 5CO2 + (7/2 - 3/2*1)H2O + 1NH3</t>
  </si>
  <si>
    <t>C5 H7 O2 N  + (5+7/4 -  4/4 -6/4)O2 --&gt; 5CO2 + (4/2*1)H2O + 1NH3</t>
  </si>
  <si>
    <t>C5 H7 O2 N  + (20/4 -3/4)O2 --&gt; 5CO2 + (4/2*1)H2O + 1NH3</t>
  </si>
  <si>
    <t>C5 H7 O2 N  + 17/4O2 --&gt; 5CO2 + 2H2O + 1NH3</t>
  </si>
  <si>
    <r>
      <t xml:space="preserve">C5 H7 O2 N  + </t>
    </r>
    <r>
      <rPr>
        <b/>
        <sz val="12"/>
        <color theme="1"/>
        <rFont val="Calibri"/>
        <family val="2"/>
        <scheme val="minor"/>
      </rPr>
      <t>4.25</t>
    </r>
    <r>
      <rPr>
        <sz val="12"/>
        <color theme="1"/>
        <rFont val="Calibri"/>
        <family val="2"/>
        <scheme val="minor"/>
      </rPr>
      <t>O2 --&gt; 5CO2 + 2H2O + 1NH3</t>
    </r>
  </si>
  <si>
    <t>molar weight</t>
  </si>
  <si>
    <t xml:space="preserve">g COD </t>
  </si>
  <si>
    <t>g COD / g biomass</t>
  </si>
  <si>
    <t>now same as microbes. Alternatively , 0.1 as in Lindeman, but thats less. Lezts stick  the original plan. Thats dry mass alreeady. Alhtough, no, the original plan was acetate - that does not hold for fauna. It barely holds for MO. 0.1</t>
  </si>
  <si>
    <t>mortalityFraction_per_degree</t>
  </si>
  <si>
    <t>Navel 2011</t>
  </si>
  <si>
    <t>uptake by N. rhenorhodanensis</t>
  </si>
  <si>
    <t>7.5 ± 5.9</t>
  </si>
  <si>
    <t>mg OM / day / (g dry niphargid)</t>
  </si>
  <si>
    <t>min</t>
  </si>
  <si>
    <t xml:space="preserve">max </t>
  </si>
  <si>
    <t>mean</t>
  </si>
  <si>
    <t>range</t>
  </si>
  <si>
    <t>mean HA</t>
  </si>
  <si>
    <t>mol OM_HA / day / (g dry niphargid)</t>
  </si>
  <si>
    <t>range HA</t>
  </si>
  <si>
    <t>mol OM_HA / day / (mol dry niphargid)</t>
  </si>
  <si>
    <t>mol COD of OM_HA  / day / (mol COD of dry niphargid)</t>
  </si>
  <si>
    <t xml:space="preserve">The carbon ingestion rates measured by Di Lorenzo et al. (2025) were 0.33 and 0.73 μg C / ind / d. Assuming an average individual dry mass of 0.0005 mg (Di Lorenzo et al., 2025) and an average abundance of 1 such individual per L, i.e. 0.0000005 g / L, this translates to </t>
  </si>
  <si>
    <t>μg C / ind / d</t>
  </si>
  <si>
    <t>mol C / ind / d</t>
  </si>
  <si>
    <t>mol C / (g dry mass   )/ d</t>
  </si>
  <si>
    <t>mol C / (g dry mass )/ d</t>
  </si>
  <si>
    <t>mol C / (mol dry mass ) / d</t>
  </si>
  <si>
    <t>mol COD / (mol dry mass COD ) / d</t>
  </si>
  <si>
    <t>g C / ind / d</t>
  </si>
  <si>
    <t>average dry mass COD / L in Fulda Aue</t>
  </si>
  <si>
    <t>average mol COD / L/ d</t>
  </si>
  <si>
    <t>Ks mol COD / L</t>
  </si>
  <si>
    <r>
      <t xml:space="preserve">Equating organic carbon to biofilm, we used the growth rate measured by (Foulquier et al., 2010) of 0.35  and using </t>
    </r>
    <r>
      <rPr>
        <sz val="12"/>
        <color theme="1"/>
        <rFont val="Calibri"/>
        <family val="2"/>
        <scheme val="minor"/>
      </rPr>
      <t xml:space="preserve">a biomass molar mass of 24.6 g/mol (see above), 1.05 mol COD/mol biomass (see above) this translates to </t>
    </r>
  </si>
  <si>
    <t>µg C bacteria / day</t>
  </si>
  <si>
    <t>mol C bacteria / day</t>
  </si>
  <si>
    <t>mol COD bacteria / day</t>
  </si>
  <si>
    <t>average COD bacterial dry mass of  mol COD / L FuldaAue</t>
  </si>
  <si>
    <t>/ day</t>
  </si>
  <si>
    <t>Mermillod-Blondin 2025</t>
  </si>
  <si>
    <t>% N per dry mass</t>
  </si>
  <si>
    <t xml:space="preserve"> P. cantabricus,</t>
  </si>
  <si>
    <t xml:space="preserve">P. meridianus, </t>
  </si>
  <si>
    <t xml:space="preserve">P. valdensis </t>
  </si>
  <si>
    <t xml:space="preserve">P. banyulensis, </t>
  </si>
  <si>
    <t xml:space="preserve">mean C:N ratios </t>
  </si>
  <si>
    <t xml:space="preserve">mean C:N ratios of the sedimentary biofilm </t>
  </si>
  <si>
    <t xml:space="preserve">sd C:N ratios of the sedimentary biofilm </t>
  </si>
  <si>
    <t>sd C:N ratios of CPOM</t>
  </si>
  <si>
    <r>
      <t xml:space="preserve"> The mean C:N ratios of CPOM ( </t>
    </r>
    <r>
      <rPr>
        <sz val="11"/>
        <color theme="1"/>
        <rFont val="STIXGeneral"/>
      </rPr>
      <t xml:space="preserve">± </t>
    </r>
    <r>
      <rPr>
        <sz val="11"/>
        <color theme="1"/>
        <rFont val="AGaramondPro"/>
      </rPr>
      <t xml:space="preserve">) and FPOM ( </t>
    </r>
    <r>
      <rPr>
        <sz val="11"/>
        <color theme="1"/>
        <rFont val="STIXGeneral"/>
      </rPr>
      <t xml:space="preserve">± </t>
    </r>
    <r>
      <rPr>
        <sz val="11"/>
        <color theme="1"/>
        <rFont val="AGaramondPro"/>
      </rPr>
      <t xml:space="preserve">) were comparable but they were markedly higher than those measured on sedimentary biofilm and isopods. </t>
    </r>
  </si>
  <si>
    <t>sd C:N ratios of FPOM</t>
  </si>
  <si>
    <t>mean C:N ratios of FPOM</t>
  </si>
  <si>
    <t>FPOM processing was lower, lets focus on CPOM</t>
  </si>
  <si>
    <t>average (Di Lorenzo, Navel, Mermillod-Blondin) mol COD / (mol dry mass COD ) / d</t>
  </si>
  <si>
    <t xml:space="preserve">mean indi- vidual dry mass of groundwater species:  mg) </t>
  </si>
  <si>
    <t>mean CPOM processing rate mol C / mg N fauna / d ( SI)</t>
  </si>
  <si>
    <t>meann bact processing rate mol C / mg C fauna / d ( SI)</t>
  </si>
  <si>
    <r>
      <t xml:space="preserve">Taking the approximate average of </t>
    </r>
    <r>
      <rPr>
        <sz val="12"/>
        <color theme="1"/>
        <rFont val="Calibri"/>
        <family val="2"/>
        <scheme val="minor"/>
      </rPr>
      <t xml:space="preserve">0.1 and 0.3 </t>
    </r>
    <r>
      <rPr>
        <sz val="12"/>
        <color rgb="FF000000"/>
        <rFont val="Calibri"/>
        <family val="2"/>
        <scheme val="minor"/>
      </rPr>
      <t xml:space="preserve">mol COD carbon / (mol COD dry mass) / d from the Di Lorenzo study, the average 0.00012 mol biofilm COD / mol fauna COD / d. </t>
    </r>
  </si>
  <si>
    <r>
      <t xml:space="preserve">(Mermillod-Blondin et al., 2025), and </t>
    </r>
    <r>
      <rPr>
        <sz val="12"/>
        <color theme="1"/>
        <rFont val="Calibri"/>
        <family val="2"/>
        <scheme val="minor"/>
      </rPr>
      <t xml:space="preserve">0.0008 </t>
    </r>
    <r>
      <rPr>
        <sz val="12"/>
        <color rgb="FF000000"/>
        <rFont val="Calibri"/>
        <family val="2"/>
        <scheme val="minor"/>
      </rPr>
      <t xml:space="preserve">mol COD OM / day / (mol COD dry niphargid) </t>
    </r>
  </si>
  <si>
    <t xml:space="preserve">mol COD carbon / (mol COD dry mass) / d </t>
  </si>
  <si>
    <t>max_t</t>
  </si>
  <si>
    <r>
      <rPr>
        <b/>
        <sz val="12"/>
        <color theme="1"/>
        <rFont val="Calibri"/>
        <family val="2"/>
        <scheme val="minor"/>
      </rPr>
      <t>biomass</t>
    </r>
    <r>
      <rPr>
        <sz val="12"/>
        <color theme="1"/>
        <rFont val="Calibri"/>
        <family val="2"/>
        <scheme val="minor"/>
      </rPr>
      <t xml:space="preserve"> C1 H1.8 O0.5 N0.2 (Heijnen, 2006),   (Heijnen book chapter in Basic Biotechnology; Stouthamer 1979) </t>
    </r>
  </si>
  <si>
    <t xml:space="preserve">g/mol </t>
  </si>
  <si>
    <t xml:space="preserve"> / d, i.e. growth</t>
  </si>
  <si>
    <t>min CPOM processing rate mg C / mg N fauna / d</t>
  </si>
  <si>
    <t xml:space="preserve">max CPOM processing rate mg C / mg N fauna / d </t>
  </si>
  <si>
    <t>min CPOM processing rate mol C / mg N fauna / d</t>
  </si>
  <si>
    <t>max CPOM processing rate mol C / mg N fauna / d</t>
  </si>
  <si>
    <t>min CPOM processing rate mol C / mg C fauna / d</t>
  </si>
  <si>
    <t>max CPOM processing rate mol C / mg C fauna / d</t>
  </si>
  <si>
    <t>min CPOM processing rate mol C / mol C fauna / d</t>
  </si>
  <si>
    <t>max CPOM processing rate mol C / mol C fauna / d</t>
  </si>
  <si>
    <t>min CPOM COD processing rate mol C / mol COD fauna / d</t>
  </si>
  <si>
    <t>max CPOM COD processing rate mol C / mol COD fauna / d</t>
  </si>
  <si>
    <t>mean microbial processing rate mg C / mg N fauna / d  ( SI table)</t>
  </si>
  <si>
    <t>mean MO processing rate mol C / mol C fauna / d ( SI)</t>
  </si>
  <si>
    <t>mean MO COD processing rate mol C / mol COD fauna / d (SI)</t>
  </si>
  <si>
    <t xml:space="preserve"> Assuming an average individual dry mass of 0.0005 mg (Di Lorenzo et al., 2025) and an average abundance of 1 such individual per L, i.e. 0.0000005 g / L, assuming 24.6 g / mol for biomass (see above, this can be expressed as 2.03E-10 mol / L faunal dry mass present in the aquifer.</t>
  </si>
  <si>
    <t xml:space="preserve">but Grady says 1.4 g COD / g biomass. So that is ox to Nitrate ?! </t>
  </si>
  <si>
    <t xml:space="preserve"> globally, average of for renewable groundwater (Abbott et al. 2019)</t>
  </si>
  <si>
    <t xml:space="preserve">km3 </t>
  </si>
  <si>
    <t>L</t>
  </si>
  <si>
    <t>difference between reference and +3deg C in the River zone after 3.5 years,</t>
  </si>
  <si>
    <t>mol / L / 3.5 years</t>
  </si>
  <si>
    <t>mol / L / year</t>
  </si>
  <si>
    <t>mol / year</t>
  </si>
  <si>
    <t>not degraded by groundwater ecosystem</t>
  </si>
  <si>
    <t xml:space="preserve"> this translates to 1.81E+04 t BOC / year. This is the additional load of COD that drinking water production needs to reduce globally under a +3°C scenario when and if groundwater fauna has become extinct.</t>
  </si>
  <si>
    <t xml:space="preserve">g / mol </t>
  </si>
  <si>
    <t>molar weight of humic acid (see above)</t>
  </si>
  <si>
    <t>g / year</t>
  </si>
  <si>
    <t>kg / year</t>
  </si>
  <si>
    <t>t/ year</t>
  </si>
  <si>
    <t>difference between reference and +3deg C in the River zone per  year,</t>
  </si>
  <si>
    <t>recharge_fraction_of_precipitation</t>
  </si>
  <si>
    <t xml:space="preserve">mol per  m^3 </t>
  </si>
  <si>
    <t>100% at 12 degrees, between 50 and 100% at 16 degrees, between 0 and50% at 20 degrees (Brielmann 2011). Assuming that half of the fauna population behaves like amphipods and half like asellids, 100% survival at 12 degrees, (75% survival at 16 degrees,) 25 % at 20 degrees. Taking the endpoint 20 degrees, 0.25 of the population survives after an increase by 8 degrees. This means that 0.75 have died. Thus , for each degree of increase, 0.75/8 = 0.09375 , roughly 1 % of the individuals die.    above or below 10 degree</t>
  </si>
  <si>
    <t>in Gerritse et al. (1992): 10.6 g- mol-1, i.e. 10.6/12 mol biomass / mol acetate -"Expressed as grams of cell carbon produced per mole of carbon substrate consumed." This was multiplied with 1.07 mol COD / mol biomass and divided by 2 mol COD / mol acetate</t>
  </si>
  <si>
    <t xml:space="preserve">fraction of detritus  becoming  BOC </t>
  </si>
  <si>
    <t>mol COD/L at lab temperature</t>
  </si>
  <si>
    <t xml:space="preserve">mol COD/L </t>
  </si>
  <si>
    <t>2 mol COD / mol acetate. 64 g COD / 60 g acetate, i.e. 1.067 g COD / g acetate</t>
  </si>
  <si>
    <t>per h micro g / L acetate</t>
  </si>
  <si>
    <t>microbial loss factor in scenarios where there is no fauna - i.e. cell respiration, grazing through the microbial loop, cell death etc.</t>
  </si>
  <si>
    <t>average precipitation (mm / year). Plesne precipitation, to deal with Kopacek TOC in precipitation. The mean of 1402 and 1437, which are the yearly precipitaiton for Plesne and Certovo respectively (Kopacek et al., 2009: Canopy leaching .. )</t>
  </si>
  <si>
    <t>the fraction of precipitation recharged to groundwater. Here a very simplified estimate which is not congruent with field measurements and has to be updated in future runs if it proves sensitive. "The infiltration rate in Chinese loess aquifers ranges between 0.19 and 0.34 m/year, representing 6–13% of the annual precipitation." Liu et al. 2024; ca. 8% Seidenfaden et al. 2023</t>
  </si>
  <si>
    <t>concentration of total organic carbon (TOC) in precipitation: 208 mmol / m^2 / yr in Plesne, 199 mmol / m^2 / yr in Certovo; i.e. 203.5 on average; J. Kopacek et al. 2008; Kopacek, J., Turek, J., Hejzlar, J., Santruckova, H., 2009. Canopy leaching of nutrients and metals in a mountain spruce forest. Atmospheric Environment 43, 5443–5453. https://doi.org/10.1016/j.atmosenv.2009.07.031</t>
  </si>
  <si>
    <t>the factor how many times of TOC there is carbon bound in detritus; assuming that through soil passage, the TOC from precipitation is degraded, but a lot more detritus is mobilised</t>
  </si>
  <si>
    <t>rate constant for bacterial uptake and oxidation of acetate Gerritse et al. (1992), assuming COD can be degraded like acetate, which is an error-prone assumption</t>
  </si>
  <si>
    <t>for now for lack of better values, the same as microbes. Alternatively , one could set 0.1 as in Lindeman, but thats less.This is dry mass.</t>
  </si>
  <si>
    <t>excretion rate of fauna; constant rate; excretion is biodegradable organic carbon (BOC) and added to that pool</t>
  </si>
  <si>
    <t>the factor with which maximum measured biomass of microorganisms was multiplied to derive carrying capacity of microorganisms</t>
  </si>
  <si>
    <t>the factor with which maximum measured biomass of fauna was multiplied to derive carrying capacity of fauna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</si>
</sst>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00"/>
  </numFmts>
  <fonts count="20">
    <font>
      <sz val="12"/>
      <color theme="1"/>
      <name val="Calibri"/>
      <family val="2"/>
      <scheme val="minor"/>
    </font>
    <font>
      <b/>
      <sz val="12"/>
      <color theme="1"/>
      <name val="Calibri"/>
      <family val="2"/>
      <scheme val="minor"/>
    </font>
    <font>
      <sz val="12"/>
      <color rgb="FFFF0000"/>
      <name val="Calibri"/>
      <family val="2"/>
      <scheme val="minor"/>
    </font>
    <font>
      <sz val="10"/>
      <color rgb="FF000000"/>
      <name val="Tahoma"/>
      <family val="2"/>
    </font>
    <font>
      <b/>
      <sz val="10"/>
      <color rgb="FF000000"/>
      <name val="Tahoma"/>
      <family val="2"/>
    </font>
    <font>
      <sz val="12"/>
      <name val="Calibri"/>
      <family val="2"/>
      <scheme val="minor"/>
    </font>
    <font>
      <sz val="12"/>
      <color theme="1"/>
      <name val="Times New Roman"/>
      <family val="1"/>
    </font>
    <font>
      <u/>
      <sz val="12"/>
      <color theme="10"/>
      <name val="Calibri"/>
      <family val="2"/>
      <scheme val="minor"/>
    </font>
    <font>
      <sz val="12"/>
      <color rgb="FFFF0000"/>
      <name val="Calibri (Textkörper)"/>
    </font>
    <font>
      <sz val="12"/>
      <color theme="0" tint="-0.249977111117893"/>
      <name val="Calibri"/>
      <family val="2"/>
      <scheme val="minor"/>
    </font>
    <font>
      <vertAlign val="subscript"/>
      <sz val="12"/>
      <color theme="1"/>
      <name val="Calibri"/>
      <family val="2"/>
      <scheme val="minor"/>
    </font>
    <font>
      <sz val="8"/>
      <color theme="1"/>
      <name val="Calibri"/>
      <family val="2"/>
      <scheme val="minor"/>
    </font>
    <font>
      <sz val="10"/>
      <color theme="1"/>
      <name val="Times New Roman"/>
      <family val="1"/>
    </font>
    <font>
      <sz val="12"/>
      <color theme="0" tint="-0.14999847407452621"/>
      <name val="Calibri"/>
      <family val="2"/>
      <scheme val="minor"/>
    </font>
    <font>
      <sz val="12"/>
      <color rgb="FF000000"/>
      <name val="Calibri"/>
      <family val="2"/>
      <scheme val="minor"/>
    </font>
    <font>
      <sz val="11"/>
      <color theme="1"/>
      <name val="AGaramondPro"/>
    </font>
    <font>
      <sz val="11"/>
      <color theme="1"/>
      <name val="STIXGeneral"/>
    </font>
    <font>
      <sz val="12"/>
      <color rgb="FFCCCCCC"/>
      <name val="Menlo"/>
      <family val="2"/>
    </font>
    <font>
      <sz val="12"/>
      <color rgb="FF000000"/>
      <name val="Calibri"/>
      <family val="2"/>
    </font>
    <font>
      <sz val="10"/>
      <color rgb="FF000000"/>
      <name val="Calibri"/>
      <family val="2"/>
      <scheme val="minor"/>
    </font>
  </fonts>
  <fills count="4">
    <fill>
      <patternFill patternType="none"/>
    </fill>
    <fill>
      <patternFill patternType="gray125"/>
    </fill>
    <fill>
      <patternFill patternType="solid">
        <fgColor theme="2"/>
        <bgColor indexed="64"/>
      </patternFill>
    </fill>
    <fill>
      <patternFill patternType="solid">
        <fgColor rgb="FFFFFF00"/>
        <bgColor indexed="64"/>
      </patternFill>
    </fill>
  </fills>
  <borders count="2">
    <border>
      <left/>
      <right/>
      <top/>
      <bottom/>
      <diagonal/>
    </border>
    <border>
      <left/>
      <right/>
      <top/>
      <bottom style="thin">
        <color indexed="64"/>
      </bottom>
      <diagonal/>
    </border>
  </borders>
  <cellStyleXfs count="2">
    <xf numFmtId="0" fontId="0" fillId="0" borderId="0"/>
    <xf numFmtId="0" fontId="7" fillId="0" borderId="0" applyNumberFormat="0" applyFill="0" applyBorder="0" applyAlignment="0" applyProtection="0"/>
  </cellStyleXfs>
  <cellXfs count="23">
    <xf numFmtId="0" fontId="0" fillId="0" borderId="0" xfId="0"/>
    <xf numFmtId="0" fontId="1" fillId="0" borderId="0" xfId="0" applyFont="1"/>
    <xf numFmtId="0" fontId="2" fillId="0" borderId="0" xfId="0" applyFont="1"/>
    <xf numFmtId="0" fontId="0" fillId="2" borderId="0" xfId="0" applyFill="1"/>
    <xf numFmtId="0" fontId="5" fillId="0" borderId="0" xfId="0" applyFont="1"/>
    <xf numFmtId="0" fontId="6" fillId="0" borderId="0" xfId="0" applyFont="1" applyAlignment="1">
      <alignment vertical="center"/>
    </xf>
    <xf numFmtId="0" fontId="7" fillId="0" borderId="0" xfId="1"/>
    <xf numFmtId="0" fontId="9" fillId="0" borderId="0" xfId="0" applyFont="1"/>
    <xf numFmtId="0" fontId="11" fillId="0" borderId="0" xfId="0" applyFont="1" applyAlignment="1">
      <alignment vertical="center"/>
    </xf>
    <xf numFmtId="0" fontId="12" fillId="0" borderId="0" xfId="0" applyFont="1"/>
    <xf numFmtId="2" fontId="0" fillId="0" borderId="0" xfId="0" applyNumberFormat="1"/>
    <xf numFmtId="164" fontId="0" fillId="0" borderId="0" xfId="0" applyNumberFormat="1"/>
    <xf numFmtId="0" fontId="0" fillId="0" borderId="0" xfId="0" applyAlignment="1">
      <alignment vertical="center"/>
    </xf>
    <xf numFmtId="0" fontId="13" fillId="0" borderId="0" xfId="0" applyFont="1"/>
    <xf numFmtId="11" fontId="0" fillId="0" borderId="0" xfId="0" applyNumberFormat="1"/>
    <xf numFmtId="0" fontId="14" fillId="0" borderId="0" xfId="0" applyFont="1"/>
    <xf numFmtId="0" fontId="14" fillId="0" borderId="0" xfId="0" applyFont="1" applyAlignment="1">
      <alignment vertical="center"/>
    </xf>
    <xf numFmtId="0" fontId="15" fillId="0" borderId="0" xfId="0" applyFont="1"/>
    <xf numFmtId="0" fontId="0" fillId="0" borderId="1" xfId="0" applyBorder="1"/>
    <xf numFmtId="0" fontId="17" fillId="0" borderId="0" xfId="0" applyFont="1"/>
    <xf numFmtId="0" fontId="12" fillId="0" borderId="0" xfId="0" applyFont="1" applyAlignment="1">
      <alignment horizontal="justify" vertical="center"/>
    </xf>
    <xf numFmtId="0" fontId="0" fillId="3" borderId="0" xfId="0" applyFill="1"/>
    <xf numFmtId="0" fontId="0" fillId="0" borderId="0" xfId="0" applyFill="1"/>
  </cellXfs>
  <cellStyles count="2">
    <cellStyle name="Link" xfId="1" builtinId="8"/>
    <cellStyle name="Stand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1</xdr:row>
      <xdr:rowOff>0</xdr:rowOff>
    </xdr:from>
    <xdr:to>
      <xdr:col>10</xdr:col>
      <xdr:colOff>241300</xdr:colOff>
      <xdr:row>15</xdr:row>
      <xdr:rowOff>141857</xdr:rowOff>
    </xdr:to>
    <xdr:pic>
      <xdr:nvPicPr>
        <xdr:cNvPr id="2" name="Grafik 1">
          <a:extLst>
            <a:ext uri="{FF2B5EF4-FFF2-40B4-BE49-F238E27FC236}">
              <a16:creationId xmlns:a16="http://schemas.microsoft.com/office/drawing/2014/main" id="{ED756F8C-5C29-BE05-7C2A-E6A8D01FA927}"/>
            </a:ext>
          </a:extLst>
        </xdr:cNvPr>
        <xdr:cNvPicPr>
          <a:picLocks noChangeAspect="1"/>
        </xdr:cNvPicPr>
      </xdr:nvPicPr>
      <xdr:blipFill>
        <a:blip xmlns:r="http://schemas.openxmlformats.org/officeDocument/2006/relationships" r:embed="rId1"/>
        <a:stretch>
          <a:fillRect/>
        </a:stretch>
      </xdr:blipFill>
      <xdr:spPr>
        <a:xfrm>
          <a:off x="825500" y="203200"/>
          <a:ext cx="7772400" cy="2986657"/>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Schmidt Isabel Susanne" id="{FE8B650B-F8E4-BC41-8B83-E1DC95C47930}" userId="S::susanne.schmidt@hbu.cas.cz::f37ea2e0-650b-40d4-8e86-e478cdc04071" providerId="AD"/>
</personList>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J4" dT="2025-06-02T13:55:05.15" personId="{FE8B650B-F8E4-BC41-8B83-E1DC95C47930}" id="{BC23984A-4BE5-DB42-8CB2-421621628373}">
    <text>7.5 g COD per g humic acid derived in SI, and on sheet calculating_COD in this file</text>
  </threadedComment>
  <threadedComment ref="X4" dT="2025-06-15T11:12:50.61" personId="{FE8B650B-F8E4-BC41-8B83-E1DC95C47930}" id="{A973AB73-A4B2-DB42-8CE2-2E9D2BA6D327}">
    <text>average of Di Lorenzo, Navel, Mermillod-Blondin</text>
  </threadedComment>
  <threadedComment ref="AB4" dT="2025-06-07T18:46:12.83" personId="{FE8B650B-F8E4-BC41-8B83-E1DC95C47930}" id="{B2EEDDFE-EFB6-B841-B3B1-49218DCB8340}">
    <text>Foulquier 2010 Relating</text>
  </threadedComment>
  <threadedComment ref="AG4" dT="2025-06-15T10:42:48.50" personId="{FE8B650B-F8E4-BC41-8B83-E1DC95C47930}" id="{D83D8722-287D-8543-91DC-DFD968583D4B}">
    <text>Equating organic carbon to biofilm, we used the growth rate measured by (Foulquier et al., 2010) of 0.35 µg C bacteria / day and using a biomass molar mass of 24.6 g/mol (see above), 1.05 mol COD/mol biomass (see above) this translates to 1.4939E-08 mol COD bacteria / day. Multiplying with an average COD bacterial dry mass of 1.0e-05 mol COD / L, yields 0.002 / day. Assuming that the maximum growth rate is 10 times as high, we set the the maximum growth rate of fauna on microorganisms to 0.02 / day.</text>
  </threadedComment>
  <threadedComment ref="AG4" dT="2025-06-20T08:24:23.10" personId="{FE8B650B-F8E4-BC41-8B83-E1DC95C47930}" id="{D5A6F296-99E3-944D-9E17-1BB8F5BD2616}" parentId="{D83D8722-287D-8543-91DC-DFD968583D4B}">
    <text>19.6.25 geändert, siehe SI</text>
  </threadedComment>
  <threadedComment ref="J5" dT="2025-06-02T13:55:05.15" personId="{FE8B650B-F8E4-BC41-8B83-E1DC95C47930}" id="{4DF7EAEC-CD2F-EF4A-9BF0-F3F1E42E4442}">
    <text>7.5 g COD per g humic acid derived in SI, and on sheet calculating_COD in this file</text>
  </threadedComment>
  <threadedComment ref="X5" dT="2025-06-15T11:12:50.61" personId="{FE8B650B-F8E4-BC41-8B83-E1DC95C47930}" id="{8B1BECD1-664B-894E-902F-58308D659DA9}">
    <text>average of Di Lorenzo, Navel, Mermillod-Blondin</text>
  </threadedComment>
  <threadedComment ref="AB5" dT="2025-06-07T18:46:12.83" personId="{FE8B650B-F8E4-BC41-8B83-E1DC95C47930}" id="{944B0A6E-7F35-8040-8354-541096ED2DBE}">
    <text>Foulquier 2010 Relating</text>
  </threadedComment>
  <threadedComment ref="AG5" dT="2025-06-15T10:42:48.50" personId="{FE8B650B-F8E4-BC41-8B83-E1DC95C47930}" id="{009AF6C5-B9AC-7541-9E56-015D22C54F6F}">
    <text>Equating organic carbon to biofilm, we used the growth rate measured by (Foulquier et al., 2010) of 0.35 µg C bacteria / day and using a biomass molar mass of 24.6 g/mol (see above), 1.05 mol COD/mol biomass (see above) this translates to 1.4939E-08 mol COD bacteria / day. Multiplying with an average COD bacterial dry mass of 1.0e-05 mol COD / L, yields 0.002 / day. Assuming that the maximum growth rate is 10 times as high, we set the the maximum growth rate of fauna on microorganisms to 0.02 / day.</text>
  </threadedComment>
  <threadedComment ref="J6" dT="2025-06-02T13:55:05.15" personId="{FE8B650B-F8E4-BC41-8B83-E1DC95C47930}" id="{0F2B29B9-EE72-C54A-8714-498DD1A3C8E0}">
    <text>7.5 g COD per g humic acid derived in SI, and on sheet calculating_COD in this file</text>
  </threadedComment>
  <threadedComment ref="X6" dT="2025-06-15T11:12:50.61" personId="{FE8B650B-F8E4-BC41-8B83-E1DC95C47930}" id="{3C0608B8-171F-064A-822A-A3CC6DDC9FC4}">
    <text>average of Di Lorenzo, Navel, Mermillod-Blondin</text>
  </threadedComment>
  <threadedComment ref="AB6" dT="2025-06-07T18:46:12.83" personId="{FE8B650B-F8E4-BC41-8B83-E1DC95C47930}" id="{4659E4E8-C0C9-CB4D-BEA9-CCB12CD16D5B}">
    <text>Foulquier 2010 Relating</text>
  </threadedComment>
  <threadedComment ref="AG6" dT="2025-06-15T10:42:48.50" personId="{FE8B650B-F8E4-BC41-8B83-E1DC95C47930}" id="{B40E02FA-A395-684A-865E-E43D81BF9EF7}">
    <text>Equating organic carbon to biofilm, we used the growth rate measured by (Foulquier et al., 2010) of 0.35 µg C bacteria / day and using a biomass molar mass of 24.6 g/mol (see above), 1.05 mol COD/mol biomass (see above) this translates to 1.4939E-08 mol COD bacteria / day. Multiplying with an average COD bacterial dry mass of 1.0e-05 mol COD / L, yields 0.002 / day. Assuming that the maximum growth rate is 10 times as high, we set the the maximum growth rate of fauna on microorganisms to 0.02 / day.</text>
  </threadedComment>
  <threadedComment ref="J7" dT="2025-06-02T13:55:05.15" personId="{FE8B650B-F8E4-BC41-8B83-E1DC95C47930}" id="{8AB12162-2BF7-9849-9318-3D6AC8CBAB8F}">
    <text>7.5 g COD per g humic acid derived in SI, and on sheet calculating_COD in this file</text>
  </threadedComment>
  <threadedComment ref="X7" dT="2025-06-15T11:12:50.61" personId="{FE8B650B-F8E4-BC41-8B83-E1DC95C47930}" id="{D578DC42-15AA-9242-8F7A-DCCCBD7DB327}">
    <text>average of Di Lorenzo, Navel, Mermillod-Blondin</text>
  </threadedComment>
  <threadedComment ref="AB7" dT="2025-06-07T18:46:12.83" personId="{FE8B650B-F8E4-BC41-8B83-E1DC95C47930}" id="{D9858DC7-D04C-4A4F-872C-0C59D675639A}">
    <text>Foulquier 2010 Relating</text>
  </threadedComment>
  <threadedComment ref="AG7" dT="2025-06-15T10:42:48.50" personId="{FE8B650B-F8E4-BC41-8B83-E1DC95C47930}" id="{507182A8-A16E-3B46-A78B-C475F7E79FFC}">
    <text>Equating organic carbon to biofilm, we used the growth rate measured by (Foulquier et al., 2010) of 0.35 µg C bacteria / day and using a biomass molar mass of 24.6 g/mol (see above), 1.05 mol COD/mol biomass (see above) this translates to 1.4939E-08 mol COD bacteria / day. Multiplying with an average COD bacterial dry mass of 1.0e-05 mol COD / L, yields 0.002 / day. Assuming that the maximum growth rate is 10 times as high, we set the the maximum growth rate of fauna on microorganisms to 0.02 / day.</text>
  </threadedComment>
  <threadedComment ref="J8" dT="2025-06-02T13:55:05.15" personId="{FE8B650B-F8E4-BC41-8B83-E1DC95C47930}" id="{28910C3F-267C-EF48-8C2C-F6C895522D82}">
    <text>7.5 g COD per g humic acid derived in SI, and on sheet calculating_COD in this file</text>
  </threadedComment>
  <threadedComment ref="X8" dT="2025-06-15T11:12:50.61" personId="{FE8B650B-F8E4-BC41-8B83-E1DC95C47930}" id="{E7A076DC-8E76-1148-951F-1F3AE0C081A3}">
    <text>average of Di Lorenzo, Navel, Mermillod-Blondin</text>
  </threadedComment>
  <threadedComment ref="AB8" dT="2025-06-07T18:46:12.83" personId="{FE8B650B-F8E4-BC41-8B83-E1DC95C47930}" id="{8ABD701E-78D0-4A47-8F33-59280C42BAAB}">
    <text>Foulquier 2010 Relating</text>
  </threadedComment>
  <threadedComment ref="AG8" dT="2025-06-15T10:42:48.50" personId="{FE8B650B-F8E4-BC41-8B83-E1DC95C47930}" id="{C8D487C4-854D-254E-A24C-BB3F3463062E}">
    <text>Equating organic carbon to biofilm, we used the growth rate measured by (Foulquier et al., 2010) of 0.35 µg C bacteria / day and using a biomass molar mass of 24.6 g/mol (see above), 1.05 mol COD/mol biomass (see above) this translates to 1.4939E-08 mol COD bacteria / day. Multiplying with an average COD bacterial dry mass of 1.0e-05 mol COD / L, yields 0.002 / day. Assuming that the maximum growth rate is 10 times as high, we set the the maximum growth rate of fauna on microorganisms to 0.02 / day.</text>
  </threadedComment>
  <threadedComment ref="J9" dT="2025-06-02T13:55:05.15" personId="{FE8B650B-F8E4-BC41-8B83-E1DC95C47930}" id="{E68EDC32-0C11-F24F-BC92-6599E44DEE2B}">
    <text>7.5 g COD per g humic acid derived in SI, and on sheet calculating_COD in this file</text>
  </threadedComment>
  <threadedComment ref="X9" dT="2025-06-15T11:12:50.61" personId="{FE8B650B-F8E4-BC41-8B83-E1DC95C47930}" id="{03DDDF21-1FDE-1A44-92CB-02C9D1E67681}">
    <text>average of Di Lorenzo, Navel, Mermillod-Blondin</text>
  </threadedComment>
  <threadedComment ref="AB9" dT="2025-06-07T18:46:12.83" personId="{FE8B650B-F8E4-BC41-8B83-E1DC95C47930}" id="{74D124C3-18A4-4549-83DD-7E733D9BD57D}">
    <text>Foulquier 2010 Relating</text>
  </threadedComment>
  <threadedComment ref="AG9" dT="2025-06-15T10:42:48.50" personId="{FE8B650B-F8E4-BC41-8B83-E1DC95C47930}" id="{59162C1A-C9E9-6D46-9F9A-64B6BAFF2CAB}">
    <text>Equating organic carbon to biofilm, we used the growth rate measured by (Foulquier et al., 2010) of 0.35 µg C bacteria / day and using a biomass molar mass of 24.6 g/mol (see above), 1.05 mol COD/mol biomass (see above) this translates to 1.4939E-08 mol COD bacteria / day. Multiplying with an average COD bacterial dry mass of 1.0e-05 mol COD / L, yields 0.002 / day. Assuming that the maximum growth rate is 10 times as high, we set the the maximum growth rate of fauna on microorganisms to 0.02 / day.</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2.bin"/><Relationship Id="rId1" Type="http://schemas.openxmlformats.org/officeDocument/2006/relationships/hyperlink" Target="https://www.chemspider.com/Chemical-Structure.32820151.html"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7B919E-F4BE-8A4F-9679-A3F32BFB830E}">
  <dimension ref="A1:AK13"/>
  <sheetViews>
    <sheetView tabSelected="1" workbookViewId="0">
      <pane xSplit="2" ySplit="3" topLeftCell="V4" activePane="bottomRight" state="frozen"/>
      <selection pane="topRight" activeCell="C1" sqref="C1"/>
      <selection pane="bottomLeft" activeCell="A4" sqref="A4"/>
      <selection pane="bottomRight" activeCell="AD12" sqref="AD12"/>
    </sheetView>
  </sheetViews>
  <sheetFormatPr baseColWidth="10" defaultColWidth="10.69921875" defaultRowHeight="15.6"/>
  <cols>
    <col min="1" max="1" width="12.19921875" bestFit="1" customWidth="1"/>
    <col min="11" max="11" width="11.19921875" bestFit="1" customWidth="1"/>
    <col min="12" max="12" width="11.19921875" customWidth="1"/>
    <col min="14" max="14" width="11.19921875" bestFit="1" customWidth="1"/>
    <col min="22" max="23" width="12.19921875" bestFit="1" customWidth="1"/>
    <col min="34" max="34" width="12.19921875" bestFit="1" customWidth="1"/>
  </cols>
  <sheetData>
    <row r="1" spans="1:37">
      <c r="A1" t="s">
        <v>2</v>
      </c>
      <c r="C1" t="s">
        <v>31</v>
      </c>
      <c r="E1" t="s">
        <v>51</v>
      </c>
      <c r="F1" t="s">
        <v>190</v>
      </c>
      <c r="G1" t="s">
        <v>191</v>
      </c>
      <c r="H1" t="s">
        <v>192</v>
      </c>
      <c r="M1" t="s">
        <v>193</v>
      </c>
      <c r="N1" t="s">
        <v>49</v>
      </c>
      <c r="O1" t="s">
        <v>184</v>
      </c>
      <c r="P1" t="s">
        <v>5</v>
      </c>
      <c r="T1" t="s">
        <v>17</v>
      </c>
      <c r="U1" t="s">
        <v>183</v>
      </c>
      <c r="V1" t="s">
        <v>195</v>
      </c>
      <c r="X1" t="s">
        <v>194</v>
      </c>
      <c r="Y1" t="s">
        <v>187</v>
      </c>
      <c r="AA1" t="s">
        <v>93</v>
      </c>
      <c r="AB1" t="s">
        <v>197</v>
      </c>
      <c r="AC1" t="s">
        <v>189</v>
      </c>
      <c r="AF1" t="s">
        <v>43</v>
      </c>
      <c r="AG1" t="s">
        <v>196</v>
      </c>
      <c r="AI1" t="s">
        <v>198</v>
      </c>
      <c r="AK1" t="s">
        <v>182</v>
      </c>
    </row>
    <row r="2" spans="1:37">
      <c r="A2" t="s">
        <v>1</v>
      </c>
      <c r="C2" t="s">
        <v>3</v>
      </c>
      <c r="F2" t="s">
        <v>45</v>
      </c>
      <c r="H2" t="s">
        <v>29</v>
      </c>
      <c r="K2" t="s">
        <v>181</v>
      </c>
      <c r="O2" t="s">
        <v>25</v>
      </c>
      <c r="P2" t="s">
        <v>8</v>
      </c>
      <c r="T2" t="s">
        <v>18</v>
      </c>
      <c r="U2" t="s">
        <v>82</v>
      </c>
      <c r="V2" t="s">
        <v>185</v>
      </c>
      <c r="W2" t="s">
        <v>186</v>
      </c>
      <c r="X2" t="s">
        <v>188</v>
      </c>
      <c r="AD2" t="s">
        <v>10</v>
      </c>
      <c r="AG2" t="s">
        <v>27</v>
      </c>
      <c r="AH2" t="s">
        <v>59</v>
      </c>
    </row>
    <row r="3" spans="1:37">
      <c r="A3" t="s">
        <v>0</v>
      </c>
      <c r="B3" t="s">
        <v>7</v>
      </c>
      <c r="C3" t="s">
        <v>4</v>
      </c>
      <c r="D3" s="19" t="s">
        <v>146</v>
      </c>
      <c r="E3" t="s">
        <v>50</v>
      </c>
      <c r="F3" t="s">
        <v>44</v>
      </c>
      <c r="G3" s="22" t="s">
        <v>180</v>
      </c>
      <c r="H3" t="s">
        <v>28</v>
      </c>
      <c r="I3" t="s">
        <v>33</v>
      </c>
      <c r="J3" t="s">
        <v>80</v>
      </c>
      <c r="K3" t="s">
        <v>46</v>
      </c>
      <c r="L3" t="s">
        <v>79</v>
      </c>
      <c r="M3" t="s">
        <v>30</v>
      </c>
      <c r="N3" t="s">
        <v>47</v>
      </c>
      <c r="O3" t="s">
        <v>24</v>
      </c>
      <c r="P3" t="s">
        <v>6</v>
      </c>
      <c r="Q3" t="s">
        <v>12</v>
      </c>
      <c r="R3" t="s">
        <v>9</v>
      </c>
      <c r="S3" t="s">
        <v>55</v>
      </c>
      <c r="T3" t="s">
        <v>16</v>
      </c>
      <c r="U3" t="s">
        <v>15</v>
      </c>
      <c r="V3" t="s">
        <v>19</v>
      </c>
      <c r="W3" t="s">
        <v>20</v>
      </c>
      <c r="X3" t="s">
        <v>48</v>
      </c>
      <c r="Y3" s="4" t="s">
        <v>21</v>
      </c>
      <c r="Z3" t="s">
        <v>22</v>
      </c>
      <c r="AA3" t="s">
        <v>32</v>
      </c>
      <c r="AB3" t="s">
        <v>53</v>
      </c>
      <c r="AC3" t="s">
        <v>58</v>
      </c>
      <c r="AD3" t="s">
        <v>11</v>
      </c>
      <c r="AE3" t="s">
        <v>14</v>
      </c>
      <c r="AF3" t="s">
        <v>23</v>
      </c>
      <c r="AG3" t="s">
        <v>26</v>
      </c>
      <c r="AH3" t="s">
        <v>13</v>
      </c>
      <c r="AI3" t="s">
        <v>54</v>
      </c>
      <c r="AJ3" t="s">
        <v>56</v>
      </c>
      <c r="AK3" t="s">
        <v>94</v>
      </c>
    </row>
    <row r="4" spans="1:37">
      <c r="B4" s="4">
        <v>1</v>
      </c>
      <c r="C4">
        <v>1</v>
      </c>
      <c r="E4">
        <v>0</v>
      </c>
      <c r="F4">
        <f t="shared" ref="F4:F13" si="0">AVERAGE(1402, 1437)</f>
        <v>1419.5</v>
      </c>
      <c r="G4">
        <v>1</v>
      </c>
      <c r="H4">
        <f t="shared" ref="H4:H13" si="1">203.5/1000</f>
        <v>0.20349999999999999</v>
      </c>
      <c r="J4">
        <f>H4/F4*1000</f>
        <v>0.14336033814723495</v>
      </c>
      <c r="K4">
        <f>J4*7.5</f>
        <v>1.0752025361042621</v>
      </c>
      <c r="L4">
        <f>K4/1000</f>
        <v>1.075202536104262E-3</v>
      </c>
      <c r="M4" s="4">
        <v>10</v>
      </c>
      <c r="N4">
        <f>M4*K4</f>
        <v>10.752025361042621</v>
      </c>
      <c r="O4">
        <v>1E-4</v>
      </c>
      <c r="P4">
        <v>10</v>
      </c>
      <c r="Q4">
        <v>1</v>
      </c>
      <c r="R4">
        <v>0</v>
      </c>
      <c r="S4" t="s">
        <v>52</v>
      </c>
      <c r="T4">
        <v>30</v>
      </c>
      <c r="U4">
        <f>10.6/24.6*1.07/2</f>
        <v>0.23052845528455285</v>
      </c>
      <c r="V4">
        <f>4.3 /1000000 *1.07</f>
        <v>4.6009999999999997E-6</v>
      </c>
      <c r="W4">
        <f>0.00000058</f>
        <v>5.7999999999999995E-7</v>
      </c>
      <c r="X4">
        <v>0.43</v>
      </c>
      <c r="Y4" s="4">
        <f>X4*1.066</f>
        <v>0.45838000000000001</v>
      </c>
      <c r="Z4">
        <f>Y4 *24</f>
        <v>11.00112</v>
      </c>
      <c r="AA4">
        <v>0.06</v>
      </c>
      <c r="AB4">
        <v>1</v>
      </c>
      <c r="AC4">
        <v>1E-4</v>
      </c>
      <c r="AD4">
        <v>1</v>
      </c>
      <c r="AE4">
        <v>0</v>
      </c>
      <c r="AF4">
        <f>10*0.103714686</f>
        <v>1.03714686</v>
      </c>
      <c r="AG4">
        <v>1E-3</v>
      </c>
      <c r="AH4">
        <f t="shared" ref="AH4:AH13" si="2">0.0000001</f>
        <v>9.9999999999999995E-8</v>
      </c>
      <c r="AI4">
        <v>1</v>
      </c>
      <c r="AJ4" t="s">
        <v>52</v>
      </c>
      <c r="AK4">
        <v>9.375E-2</v>
      </c>
    </row>
    <row r="5" spans="1:37">
      <c r="B5">
        <v>2</v>
      </c>
      <c r="C5">
        <v>1</v>
      </c>
      <c r="E5">
        <v>0</v>
      </c>
      <c r="F5">
        <f t="shared" si="0"/>
        <v>1419.5</v>
      </c>
      <c r="G5">
        <v>1</v>
      </c>
      <c r="H5">
        <f t="shared" si="1"/>
        <v>0.20349999999999999</v>
      </c>
      <c r="J5">
        <f t="shared" ref="J5:J9" si="3">H5/F5*1000</f>
        <v>0.14336033814723495</v>
      </c>
      <c r="K5">
        <f t="shared" ref="K5:K9" si="4">J5*7.5</f>
        <v>1.0752025361042621</v>
      </c>
      <c r="L5">
        <f>K5/1000</f>
        <v>1.075202536104262E-3</v>
      </c>
      <c r="M5" s="4">
        <v>10</v>
      </c>
      <c r="N5">
        <f>M5*K5</f>
        <v>10.752025361042621</v>
      </c>
      <c r="O5">
        <v>1E-4</v>
      </c>
      <c r="P5">
        <v>10</v>
      </c>
      <c r="Q5">
        <v>1</v>
      </c>
      <c r="R5">
        <v>0</v>
      </c>
      <c r="S5" t="s">
        <v>52</v>
      </c>
      <c r="T5">
        <v>30</v>
      </c>
      <c r="U5">
        <f t="shared" ref="U5:U13" si="5">10.6/24.6*1.07/2</f>
        <v>0.23052845528455285</v>
      </c>
      <c r="V5">
        <f>4.3 /1000000 *1.07</f>
        <v>4.6009999999999997E-6</v>
      </c>
      <c r="W5">
        <f t="shared" ref="W5:W13" si="6">0.00000058</f>
        <v>5.7999999999999995E-7</v>
      </c>
      <c r="X5">
        <v>0.43</v>
      </c>
      <c r="Y5" s="4">
        <f>X5*1.066</f>
        <v>0.45838000000000001</v>
      </c>
      <c r="Z5">
        <f>Y5 *24</f>
        <v>11.00112</v>
      </c>
      <c r="AA5">
        <v>0.06</v>
      </c>
      <c r="AB5">
        <v>1</v>
      </c>
      <c r="AC5">
        <v>1E-4</v>
      </c>
      <c r="AD5">
        <v>0</v>
      </c>
      <c r="AE5">
        <v>0</v>
      </c>
      <c r="AF5">
        <f t="shared" ref="AF5:AF13" si="7">10*0.103714686</f>
        <v>1.03714686</v>
      </c>
      <c r="AG5">
        <v>1E-3</v>
      </c>
      <c r="AH5">
        <f t="shared" si="2"/>
        <v>9.9999999999999995E-8</v>
      </c>
      <c r="AI5">
        <v>1</v>
      </c>
      <c r="AJ5" t="s">
        <v>52</v>
      </c>
      <c r="AK5">
        <v>9.375E-2</v>
      </c>
    </row>
    <row r="6" spans="1:37">
      <c r="B6">
        <v>3</v>
      </c>
      <c r="C6">
        <v>1</v>
      </c>
      <c r="E6">
        <v>1.5</v>
      </c>
      <c r="F6">
        <f t="shared" si="0"/>
        <v>1419.5</v>
      </c>
      <c r="G6">
        <v>1</v>
      </c>
      <c r="H6">
        <f t="shared" si="1"/>
        <v>0.20349999999999999</v>
      </c>
      <c r="J6">
        <f t="shared" si="3"/>
        <v>0.14336033814723495</v>
      </c>
      <c r="K6">
        <f t="shared" si="4"/>
        <v>1.0752025361042621</v>
      </c>
      <c r="L6">
        <f t="shared" ref="L6:L9" si="8">K6/1000</f>
        <v>1.075202536104262E-3</v>
      </c>
      <c r="M6" s="4">
        <v>10</v>
      </c>
      <c r="N6">
        <f t="shared" ref="N6" si="9">M6*K6</f>
        <v>10.752025361042621</v>
      </c>
      <c r="O6">
        <v>1E-4</v>
      </c>
      <c r="P6">
        <v>10</v>
      </c>
      <c r="Q6">
        <v>1</v>
      </c>
      <c r="R6">
        <v>0</v>
      </c>
      <c r="S6" t="s">
        <v>52</v>
      </c>
      <c r="T6">
        <v>30</v>
      </c>
      <c r="U6">
        <f t="shared" si="5"/>
        <v>0.23052845528455285</v>
      </c>
      <c r="V6">
        <f t="shared" ref="V6:V9" si="10">4.3 /1000000 *1.07</f>
        <v>4.6009999999999997E-6</v>
      </c>
      <c r="W6">
        <f t="shared" si="6"/>
        <v>5.7999999999999995E-7</v>
      </c>
      <c r="X6">
        <v>0.43</v>
      </c>
      <c r="Y6" s="4">
        <f t="shared" ref="Y6:Y8" si="11">X6*1.066</f>
        <v>0.45838000000000001</v>
      </c>
      <c r="Z6">
        <f t="shared" ref="Z6:Z8" si="12">Y6 *24</f>
        <v>11.00112</v>
      </c>
      <c r="AA6">
        <v>0.06</v>
      </c>
      <c r="AB6">
        <v>1</v>
      </c>
      <c r="AC6">
        <v>1E-4</v>
      </c>
      <c r="AD6">
        <v>1</v>
      </c>
      <c r="AE6">
        <v>0</v>
      </c>
      <c r="AF6">
        <f t="shared" si="7"/>
        <v>1.03714686</v>
      </c>
      <c r="AG6">
        <v>1E-3</v>
      </c>
      <c r="AH6">
        <f t="shared" si="2"/>
        <v>9.9999999999999995E-8</v>
      </c>
      <c r="AI6">
        <v>1</v>
      </c>
      <c r="AJ6" t="s">
        <v>52</v>
      </c>
      <c r="AK6">
        <v>9.375E-2</v>
      </c>
    </row>
    <row r="7" spans="1:37">
      <c r="B7">
        <v>4</v>
      </c>
      <c r="C7">
        <v>1</v>
      </c>
      <c r="E7">
        <v>1.5</v>
      </c>
      <c r="F7">
        <f t="shared" si="0"/>
        <v>1419.5</v>
      </c>
      <c r="G7">
        <v>1</v>
      </c>
      <c r="H7">
        <f t="shared" si="1"/>
        <v>0.20349999999999999</v>
      </c>
      <c r="J7">
        <f t="shared" si="3"/>
        <v>0.14336033814723495</v>
      </c>
      <c r="K7">
        <f t="shared" si="4"/>
        <v>1.0752025361042621</v>
      </c>
      <c r="L7">
        <f t="shared" si="8"/>
        <v>1.075202536104262E-3</v>
      </c>
      <c r="M7" s="4">
        <v>10</v>
      </c>
      <c r="N7">
        <f>M7*K7</f>
        <v>10.752025361042621</v>
      </c>
      <c r="O7">
        <v>1E-4</v>
      </c>
      <c r="P7">
        <v>10</v>
      </c>
      <c r="Q7">
        <v>1</v>
      </c>
      <c r="R7">
        <v>0</v>
      </c>
      <c r="S7" t="s">
        <v>52</v>
      </c>
      <c r="T7">
        <v>30</v>
      </c>
      <c r="U7">
        <f t="shared" si="5"/>
        <v>0.23052845528455285</v>
      </c>
      <c r="V7">
        <f t="shared" si="10"/>
        <v>4.6009999999999997E-6</v>
      </c>
      <c r="W7">
        <f t="shared" si="6"/>
        <v>5.7999999999999995E-7</v>
      </c>
      <c r="X7">
        <v>0.43</v>
      </c>
      <c r="Y7" s="4">
        <f t="shared" si="11"/>
        <v>0.45838000000000001</v>
      </c>
      <c r="Z7">
        <f t="shared" si="12"/>
        <v>11.00112</v>
      </c>
      <c r="AA7">
        <v>0.06</v>
      </c>
      <c r="AB7">
        <v>1</v>
      </c>
      <c r="AC7">
        <v>1E-4</v>
      </c>
      <c r="AD7">
        <v>0</v>
      </c>
      <c r="AE7">
        <v>0</v>
      </c>
      <c r="AF7">
        <f t="shared" si="7"/>
        <v>1.03714686</v>
      </c>
      <c r="AG7">
        <v>1E-3</v>
      </c>
      <c r="AH7">
        <f t="shared" si="2"/>
        <v>9.9999999999999995E-8</v>
      </c>
      <c r="AI7">
        <v>1</v>
      </c>
      <c r="AJ7" t="s">
        <v>52</v>
      </c>
      <c r="AK7">
        <v>9.375E-2</v>
      </c>
    </row>
    <row r="8" spans="1:37">
      <c r="B8">
        <v>5</v>
      </c>
      <c r="C8">
        <v>1</v>
      </c>
      <c r="E8">
        <v>3</v>
      </c>
      <c r="F8">
        <f t="shared" si="0"/>
        <v>1419.5</v>
      </c>
      <c r="G8">
        <v>1</v>
      </c>
      <c r="H8">
        <f t="shared" si="1"/>
        <v>0.20349999999999999</v>
      </c>
      <c r="J8">
        <f t="shared" si="3"/>
        <v>0.14336033814723495</v>
      </c>
      <c r="K8">
        <f t="shared" si="4"/>
        <v>1.0752025361042621</v>
      </c>
      <c r="L8">
        <f t="shared" si="8"/>
        <v>1.075202536104262E-3</v>
      </c>
      <c r="M8" s="4">
        <v>10</v>
      </c>
      <c r="N8">
        <f t="shared" ref="N8" si="13">M8*K8</f>
        <v>10.752025361042621</v>
      </c>
      <c r="O8">
        <v>1E-4</v>
      </c>
      <c r="P8">
        <v>10</v>
      </c>
      <c r="Q8">
        <v>1</v>
      </c>
      <c r="R8">
        <v>0</v>
      </c>
      <c r="S8" t="s">
        <v>52</v>
      </c>
      <c r="T8">
        <v>30</v>
      </c>
      <c r="U8">
        <f t="shared" si="5"/>
        <v>0.23052845528455285</v>
      </c>
      <c r="V8">
        <f t="shared" si="10"/>
        <v>4.6009999999999997E-6</v>
      </c>
      <c r="W8">
        <f t="shared" si="6"/>
        <v>5.7999999999999995E-7</v>
      </c>
      <c r="X8">
        <v>0.43</v>
      </c>
      <c r="Y8" s="4">
        <f t="shared" si="11"/>
        <v>0.45838000000000001</v>
      </c>
      <c r="Z8">
        <f t="shared" si="12"/>
        <v>11.00112</v>
      </c>
      <c r="AA8">
        <v>0.06</v>
      </c>
      <c r="AB8">
        <v>1</v>
      </c>
      <c r="AC8">
        <v>1E-4</v>
      </c>
      <c r="AD8">
        <v>1</v>
      </c>
      <c r="AE8">
        <v>0</v>
      </c>
      <c r="AF8">
        <f t="shared" si="7"/>
        <v>1.03714686</v>
      </c>
      <c r="AG8">
        <v>1E-3</v>
      </c>
      <c r="AH8">
        <f t="shared" si="2"/>
        <v>9.9999999999999995E-8</v>
      </c>
      <c r="AI8">
        <v>1</v>
      </c>
      <c r="AJ8" t="s">
        <v>52</v>
      </c>
      <c r="AK8">
        <v>9.375E-2</v>
      </c>
    </row>
    <row r="9" spans="1:37">
      <c r="B9">
        <v>6</v>
      </c>
      <c r="C9">
        <v>1</v>
      </c>
      <c r="E9">
        <v>3</v>
      </c>
      <c r="F9">
        <f t="shared" si="0"/>
        <v>1419.5</v>
      </c>
      <c r="G9">
        <v>1</v>
      </c>
      <c r="H9">
        <f t="shared" si="1"/>
        <v>0.20349999999999999</v>
      </c>
      <c r="J9">
        <f t="shared" si="3"/>
        <v>0.14336033814723495</v>
      </c>
      <c r="K9">
        <f t="shared" si="4"/>
        <v>1.0752025361042621</v>
      </c>
      <c r="L9">
        <f t="shared" si="8"/>
        <v>1.075202536104262E-3</v>
      </c>
      <c r="M9" s="4">
        <v>10</v>
      </c>
      <c r="N9">
        <f>M9*K9</f>
        <v>10.752025361042621</v>
      </c>
      <c r="O9">
        <v>1E-4</v>
      </c>
      <c r="P9">
        <v>10</v>
      </c>
      <c r="Q9">
        <v>1</v>
      </c>
      <c r="R9">
        <v>0</v>
      </c>
      <c r="S9" t="s">
        <v>52</v>
      </c>
      <c r="T9">
        <v>30</v>
      </c>
      <c r="U9">
        <f t="shared" si="5"/>
        <v>0.23052845528455285</v>
      </c>
      <c r="V9">
        <f t="shared" si="10"/>
        <v>4.6009999999999997E-6</v>
      </c>
      <c r="W9">
        <f t="shared" si="6"/>
        <v>5.7999999999999995E-7</v>
      </c>
      <c r="X9">
        <v>0.43</v>
      </c>
      <c r="Y9" s="4">
        <f>X9*1.066</f>
        <v>0.45838000000000001</v>
      </c>
      <c r="Z9">
        <f>Y9 *24</f>
        <v>11.00112</v>
      </c>
      <c r="AA9">
        <v>0.06</v>
      </c>
      <c r="AB9">
        <v>1</v>
      </c>
      <c r="AC9">
        <v>1E-4</v>
      </c>
      <c r="AD9">
        <v>0</v>
      </c>
      <c r="AE9">
        <v>0</v>
      </c>
      <c r="AF9">
        <f t="shared" si="7"/>
        <v>1.03714686</v>
      </c>
      <c r="AG9">
        <v>1E-3</v>
      </c>
      <c r="AH9">
        <f t="shared" si="2"/>
        <v>9.9999999999999995E-8</v>
      </c>
      <c r="AI9">
        <v>1</v>
      </c>
      <c r="AJ9" t="s">
        <v>52</v>
      </c>
      <c r="AK9">
        <v>9.375E-2</v>
      </c>
    </row>
    <row r="10" spans="1:37">
      <c r="B10">
        <v>7</v>
      </c>
      <c r="C10">
        <v>1</v>
      </c>
      <c r="E10">
        <v>0</v>
      </c>
      <c r="F10">
        <f t="shared" si="0"/>
        <v>1419.5</v>
      </c>
      <c r="G10">
        <v>1</v>
      </c>
      <c r="H10">
        <f t="shared" si="1"/>
        <v>0.20349999999999999</v>
      </c>
      <c r="J10">
        <f t="shared" ref="J10:J11" si="14">H10/F10*1000</f>
        <v>0.14336033814723495</v>
      </c>
      <c r="K10">
        <f t="shared" ref="K10:K11" si="15">J10*7.5</f>
        <v>1.0752025361042621</v>
      </c>
      <c r="L10">
        <f t="shared" ref="L10:L11" si="16">K10/1000</f>
        <v>1.075202536104262E-3</v>
      </c>
      <c r="M10" s="4">
        <v>10</v>
      </c>
      <c r="N10">
        <f>M10*K10</f>
        <v>10.752025361042621</v>
      </c>
      <c r="O10">
        <v>1E-4</v>
      </c>
      <c r="P10">
        <v>10</v>
      </c>
      <c r="Q10">
        <v>1</v>
      </c>
      <c r="R10">
        <v>0</v>
      </c>
      <c r="S10" t="s">
        <v>52</v>
      </c>
      <c r="T10">
        <v>30</v>
      </c>
      <c r="U10" s="21">
        <v>1E-3</v>
      </c>
      <c r="V10">
        <f t="shared" ref="V10:V11" si="17">4.3 /1000000 *1.07</f>
        <v>4.6009999999999997E-6</v>
      </c>
      <c r="W10">
        <f t="shared" si="6"/>
        <v>5.7999999999999995E-7</v>
      </c>
      <c r="X10">
        <v>0.43</v>
      </c>
      <c r="Y10" s="4">
        <f>X10*1.066</f>
        <v>0.45838000000000001</v>
      </c>
      <c r="Z10">
        <f>Y10 *24</f>
        <v>11.00112</v>
      </c>
      <c r="AA10">
        <v>0.06</v>
      </c>
      <c r="AB10">
        <v>1</v>
      </c>
      <c r="AC10">
        <v>1E-4</v>
      </c>
      <c r="AD10">
        <v>1</v>
      </c>
      <c r="AE10">
        <v>0</v>
      </c>
      <c r="AF10">
        <f t="shared" si="7"/>
        <v>1.03714686</v>
      </c>
      <c r="AG10">
        <v>1E-3</v>
      </c>
      <c r="AH10">
        <f t="shared" si="2"/>
        <v>9.9999999999999995E-8</v>
      </c>
      <c r="AI10">
        <v>1</v>
      </c>
      <c r="AJ10" t="s">
        <v>52</v>
      </c>
      <c r="AK10">
        <v>9.375E-2</v>
      </c>
    </row>
    <row r="11" spans="1:37">
      <c r="B11">
        <v>8</v>
      </c>
      <c r="C11">
        <v>1</v>
      </c>
      <c r="E11">
        <v>0</v>
      </c>
      <c r="F11">
        <f t="shared" si="0"/>
        <v>1419.5</v>
      </c>
      <c r="G11">
        <v>1</v>
      </c>
      <c r="H11">
        <f t="shared" si="1"/>
        <v>0.20349999999999999</v>
      </c>
      <c r="J11">
        <f t="shared" si="14"/>
        <v>0.14336033814723495</v>
      </c>
      <c r="K11">
        <f t="shared" si="15"/>
        <v>1.0752025361042621</v>
      </c>
      <c r="L11">
        <f t="shared" si="16"/>
        <v>1.075202536104262E-3</v>
      </c>
      <c r="M11" s="4">
        <v>10</v>
      </c>
      <c r="N11">
        <f>M11*K11</f>
        <v>10.752025361042621</v>
      </c>
      <c r="O11">
        <v>1E-4</v>
      </c>
      <c r="P11">
        <v>10</v>
      </c>
      <c r="Q11">
        <v>1</v>
      </c>
      <c r="R11">
        <v>0</v>
      </c>
      <c r="S11" t="s">
        <v>52</v>
      </c>
      <c r="T11">
        <v>30</v>
      </c>
      <c r="U11" s="21">
        <v>0.8</v>
      </c>
      <c r="V11">
        <f t="shared" si="17"/>
        <v>4.6009999999999997E-6</v>
      </c>
      <c r="W11">
        <f t="shared" si="6"/>
        <v>5.7999999999999995E-7</v>
      </c>
      <c r="X11">
        <v>0.43</v>
      </c>
      <c r="Y11" s="4">
        <f>X11*1.066</f>
        <v>0.45838000000000001</v>
      </c>
      <c r="Z11">
        <f>Y11 *24</f>
        <v>11.00112</v>
      </c>
      <c r="AA11">
        <v>0.06</v>
      </c>
      <c r="AB11">
        <v>1</v>
      </c>
      <c r="AC11">
        <v>1E-4</v>
      </c>
      <c r="AD11">
        <v>1</v>
      </c>
      <c r="AE11">
        <v>0</v>
      </c>
      <c r="AF11">
        <f t="shared" si="7"/>
        <v>1.03714686</v>
      </c>
      <c r="AG11">
        <v>1E-3</v>
      </c>
      <c r="AH11">
        <f t="shared" si="2"/>
        <v>9.9999999999999995E-8</v>
      </c>
      <c r="AI11">
        <v>1</v>
      </c>
      <c r="AJ11" t="s">
        <v>52</v>
      </c>
      <c r="AK11">
        <v>9.375E-2</v>
      </c>
    </row>
    <row r="12" spans="1:37">
      <c r="B12">
        <v>9</v>
      </c>
      <c r="C12">
        <v>1</v>
      </c>
      <c r="E12">
        <v>0</v>
      </c>
      <c r="F12">
        <f t="shared" si="0"/>
        <v>1419.5</v>
      </c>
      <c r="G12">
        <v>1</v>
      </c>
      <c r="H12">
        <f t="shared" si="1"/>
        <v>0.20349999999999999</v>
      </c>
      <c r="J12">
        <f t="shared" ref="J12:J13" si="18">H12/F12*1000</f>
        <v>0.14336033814723495</v>
      </c>
      <c r="K12">
        <f t="shared" ref="K12:K13" si="19">J12*7.5</f>
        <v>1.0752025361042621</v>
      </c>
      <c r="L12">
        <f t="shared" ref="L12:L13" si="20">K12/1000</f>
        <v>1.075202536104262E-3</v>
      </c>
      <c r="M12" s="4">
        <v>10</v>
      </c>
      <c r="N12">
        <f>M12*K12</f>
        <v>10.752025361042621</v>
      </c>
      <c r="O12">
        <v>1E-4</v>
      </c>
      <c r="P12">
        <v>10</v>
      </c>
      <c r="Q12">
        <v>1</v>
      </c>
      <c r="R12">
        <v>0</v>
      </c>
      <c r="S12" t="s">
        <v>52</v>
      </c>
      <c r="T12">
        <v>30</v>
      </c>
      <c r="U12" s="22">
        <f t="shared" si="5"/>
        <v>0.23052845528455285</v>
      </c>
      <c r="V12" s="21">
        <v>1.0000000000000001E-5</v>
      </c>
      <c r="W12">
        <f t="shared" si="6"/>
        <v>5.7999999999999995E-7</v>
      </c>
      <c r="X12">
        <v>0.43</v>
      </c>
      <c r="Y12" s="4">
        <f>X12*1.066</f>
        <v>0.45838000000000001</v>
      </c>
      <c r="Z12">
        <f>Y12 *24</f>
        <v>11.00112</v>
      </c>
      <c r="AA12">
        <v>0.06</v>
      </c>
      <c r="AB12">
        <v>1</v>
      </c>
      <c r="AC12">
        <v>1E-4</v>
      </c>
      <c r="AD12">
        <v>1</v>
      </c>
      <c r="AE12">
        <v>0</v>
      </c>
      <c r="AF12">
        <f t="shared" si="7"/>
        <v>1.03714686</v>
      </c>
      <c r="AG12">
        <v>1E-3</v>
      </c>
      <c r="AH12">
        <f t="shared" si="2"/>
        <v>9.9999999999999995E-8</v>
      </c>
      <c r="AI12">
        <v>1</v>
      </c>
      <c r="AJ12" t="s">
        <v>52</v>
      </c>
      <c r="AK12">
        <v>9.375E-2</v>
      </c>
    </row>
    <row r="13" spans="1:37">
      <c r="B13">
        <v>10</v>
      </c>
      <c r="C13">
        <v>1</v>
      </c>
      <c r="E13">
        <v>0</v>
      </c>
      <c r="F13">
        <f t="shared" si="0"/>
        <v>1419.5</v>
      </c>
      <c r="G13">
        <v>1</v>
      </c>
      <c r="H13">
        <f t="shared" si="1"/>
        <v>0.20349999999999999</v>
      </c>
      <c r="J13">
        <f t="shared" si="18"/>
        <v>0.14336033814723495</v>
      </c>
      <c r="K13">
        <f t="shared" si="19"/>
        <v>1.0752025361042621</v>
      </c>
      <c r="L13">
        <f t="shared" si="20"/>
        <v>1.075202536104262E-3</v>
      </c>
      <c r="M13" s="4">
        <v>10</v>
      </c>
      <c r="N13">
        <f>M13*K13</f>
        <v>10.752025361042621</v>
      </c>
      <c r="O13">
        <v>1E-4</v>
      </c>
      <c r="P13">
        <v>10</v>
      </c>
      <c r="Q13">
        <v>1</v>
      </c>
      <c r="R13">
        <v>0</v>
      </c>
      <c r="S13" t="s">
        <v>52</v>
      </c>
      <c r="T13">
        <v>30</v>
      </c>
      <c r="U13" s="22">
        <f t="shared" si="5"/>
        <v>0.23052845528455285</v>
      </c>
      <c r="V13" s="21">
        <v>9.9999999999999995E-8</v>
      </c>
      <c r="W13">
        <f t="shared" si="6"/>
        <v>5.7999999999999995E-7</v>
      </c>
      <c r="X13">
        <v>0.43</v>
      </c>
      <c r="Y13" s="4">
        <f>X13*1.066</f>
        <v>0.45838000000000001</v>
      </c>
      <c r="Z13">
        <f>Y13 *24</f>
        <v>11.00112</v>
      </c>
      <c r="AA13">
        <v>0.06</v>
      </c>
      <c r="AB13">
        <v>1</v>
      </c>
      <c r="AC13">
        <v>1E-4</v>
      </c>
      <c r="AD13">
        <v>1</v>
      </c>
      <c r="AE13">
        <v>0</v>
      </c>
      <c r="AF13">
        <f t="shared" si="7"/>
        <v>1.03714686</v>
      </c>
      <c r="AG13">
        <v>1E-3</v>
      </c>
      <c r="AH13">
        <f t="shared" si="2"/>
        <v>9.9999999999999995E-8</v>
      </c>
      <c r="AI13">
        <v>1</v>
      </c>
      <c r="AJ13" t="s">
        <v>52</v>
      </c>
      <c r="AK13">
        <v>9.375E-2</v>
      </c>
    </row>
  </sheetData>
  <autoFilter ref="A3:AK3" xr:uid="{AB7B919E-F4BE-8A4F-9679-A3F32BFB830E}"/>
  <pageMargins left="0.7" right="0.7" top="0.78740157499999996" bottom="0.78740157499999996"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644CC1-E167-AE40-81F2-8D9D4BC8EB36}">
  <dimension ref="B1:U139"/>
  <sheetViews>
    <sheetView topLeftCell="A129" workbookViewId="0">
      <selection activeCell="D130" sqref="D130"/>
    </sheetView>
  </sheetViews>
  <sheetFormatPr baseColWidth="10" defaultColWidth="10.69921875" defaultRowHeight="15.6"/>
  <cols>
    <col min="4" max="4" width="12.19921875" bestFit="1" customWidth="1"/>
    <col min="11" max="12" width="12.19921875" bestFit="1" customWidth="1"/>
  </cols>
  <sheetData>
    <row r="1" spans="2:21">
      <c r="B1" t="s">
        <v>34</v>
      </c>
    </row>
    <row r="3" spans="2:21">
      <c r="L3" s="7"/>
      <c r="M3" s="7"/>
      <c r="N3" s="7"/>
      <c r="O3" s="7"/>
      <c r="P3" s="7"/>
      <c r="Q3" s="7"/>
      <c r="R3" s="7"/>
      <c r="S3" s="7"/>
      <c r="T3" s="7"/>
      <c r="U3" s="7"/>
    </row>
    <row r="4" spans="2:21">
      <c r="L4" s="7"/>
      <c r="M4" s="7"/>
      <c r="N4" s="7"/>
      <c r="O4" s="7"/>
      <c r="P4" s="7"/>
      <c r="Q4" s="7"/>
      <c r="R4" s="7"/>
      <c r="S4" s="7"/>
      <c r="T4" s="7"/>
      <c r="U4" s="7"/>
    </row>
    <row r="5" spans="2:21">
      <c r="L5" s="7"/>
      <c r="M5" s="7"/>
      <c r="N5" s="7"/>
      <c r="O5" s="7"/>
      <c r="P5" s="7"/>
      <c r="Q5" s="7"/>
      <c r="R5" s="7"/>
      <c r="S5" s="7"/>
      <c r="T5" s="7"/>
      <c r="U5" s="7"/>
    </row>
    <row r="6" spans="2:21">
      <c r="L6" s="7"/>
      <c r="M6" s="7"/>
      <c r="N6" s="7"/>
      <c r="O6" s="7"/>
      <c r="P6" s="7"/>
      <c r="Q6" s="7"/>
      <c r="R6" s="7"/>
      <c r="S6" s="7"/>
      <c r="T6" s="7"/>
      <c r="U6" s="7"/>
    </row>
    <row r="7" spans="2:21">
      <c r="L7" s="7"/>
      <c r="M7" s="7"/>
      <c r="N7" s="7"/>
      <c r="O7" s="7"/>
      <c r="P7" s="7"/>
      <c r="Q7" s="7"/>
      <c r="R7" s="7"/>
      <c r="S7" s="7"/>
      <c r="T7" s="7"/>
      <c r="U7" s="7"/>
    </row>
    <row r="8" spans="2:21">
      <c r="L8" s="7"/>
      <c r="M8" s="7"/>
      <c r="N8" s="7"/>
      <c r="O8" s="7"/>
      <c r="P8" s="7"/>
      <c r="Q8" s="7"/>
      <c r="R8" s="7"/>
      <c r="S8" s="7"/>
      <c r="T8" s="7"/>
      <c r="U8" s="7"/>
    </row>
    <row r="11" spans="2:21">
      <c r="P11" s="3"/>
    </row>
    <row r="13" spans="2:21">
      <c r="O13" s="2"/>
    </row>
    <row r="16" spans="2:21">
      <c r="L16" s="6" t="s">
        <v>61</v>
      </c>
    </row>
    <row r="17" spans="12:20">
      <c r="L17" s="1" t="s">
        <v>60</v>
      </c>
      <c r="N17" t="s">
        <v>35</v>
      </c>
      <c r="O17" t="s">
        <v>39</v>
      </c>
      <c r="P17" t="s">
        <v>36</v>
      </c>
      <c r="Q17" t="s">
        <v>37</v>
      </c>
      <c r="R17" t="s">
        <v>38</v>
      </c>
      <c r="T17" t="s">
        <v>42</v>
      </c>
    </row>
    <row r="18" spans="12:20">
      <c r="L18" t="s">
        <v>70</v>
      </c>
      <c r="N18" t="s">
        <v>40</v>
      </c>
      <c r="O18">
        <v>9</v>
      </c>
      <c r="P18">
        <v>9</v>
      </c>
      <c r="Q18">
        <v>6</v>
      </c>
      <c r="R18">
        <v>1</v>
      </c>
      <c r="T18">
        <f>O18+P18/4-Q18/2-3/4*R18</f>
        <v>7.5</v>
      </c>
    </row>
    <row r="19" spans="12:20">
      <c r="L19" t="s">
        <v>68</v>
      </c>
    </row>
    <row r="20" spans="12:20">
      <c r="L20" t="s">
        <v>69</v>
      </c>
    </row>
    <row r="21" spans="12:20">
      <c r="L21">
        <f>9*12+9+6*16+14</f>
        <v>227</v>
      </c>
      <c r="M21" t="s">
        <v>57</v>
      </c>
    </row>
    <row r="22" spans="12:20">
      <c r="L22" t="s">
        <v>62</v>
      </c>
    </row>
    <row r="25" spans="12:20">
      <c r="L25" s="1" t="s">
        <v>63</v>
      </c>
      <c r="N25" t="s">
        <v>35</v>
      </c>
      <c r="O25" t="s">
        <v>39</v>
      </c>
      <c r="P25" t="s">
        <v>36</v>
      </c>
      <c r="Q25" t="s">
        <v>37</v>
      </c>
      <c r="R25" t="s">
        <v>38</v>
      </c>
      <c r="T25" t="s">
        <v>42</v>
      </c>
    </row>
    <row r="26" spans="12:20">
      <c r="L26" t="s">
        <v>71</v>
      </c>
      <c r="N26" t="s">
        <v>65</v>
      </c>
      <c r="O26">
        <v>2</v>
      </c>
      <c r="P26">
        <v>4</v>
      </c>
      <c r="Q26">
        <v>2</v>
      </c>
      <c r="R26">
        <v>0</v>
      </c>
      <c r="T26">
        <f>O26+P26/4-Q26/2-3/4*R26</f>
        <v>2</v>
      </c>
    </row>
    <row r="27" spans="12:20">
      <c r="L27">
        <v>60</v>
      </c>
      <c r="M27" t="s">
        <v>57</v>
      </c>
    </row>
    <row r="28" spans="12:20">
      <c r="L28" t="s">
        <v>64</v>
      </c>
    </row>
    <row r="31" spans="12:20">
      <c r="L31" t="s">
        <v>147</v>
      </c>
    </row>
    <row r="32" spans="12:20" ht="18">
      <c r="L32" t="s">
        <v>66</v>
      </c>
    </row>
    <row r="33" spans="10:20">
      <c r="L33" s="1" t="s">
        <v>67</v>
      </c>
      <c r="N33" t="s">
        <v>35</v>
      </c>
      <c r="O33" t="s">
        <v>39</v>
      </c>
      <c r="P33" t="s">
        <v>36</v>
      </c>
      <c r="Q33" t="s">
        <v>37</v>
      </c>
      <c r="R33" t="s">
        <v>38</v>
      </c>
      <c r="T33" t="s">
        <v>42</v>
      </c>
    </row>
    <row r="34" spans="10:20">
      <c r="L34" t="s">
        <v>74</v>
      </c>
      <c r="N34" t="s">
        <v>65</v>
      </c>
      <c r="O34">
        <v>1</v>
      </c>
      <c r="P34">
        <v>1.8</v>
      </c>
      <c r="Q34">
        <v>0.5</v>
      </c>
      <c r="R34">
        <v>0.2</v>
      </c>
      <c r="T34">
        <f>O34+P34/4-Q34/2-3/4*R34</f>
        <v>1.0499999999999998</v>
      </c>
    </row>
    <row r="35" spans="10:20">
      <c r="J35" s="11"/>
      <c r="K35" s="10"/>
      <c r="L35" t="s">
        <v>73</v>
      </c>
    </row>
    <row r="36" spans="10:20">
      <c r="L36">
        <f>1+1.8/4-  0.5/2 -3/4*0.2</f>
        <v>1.0499999999999998</v>
      </c>
      <c r="M36">
        <f>1+(1.8/4) -  (0.5/2) -(3/4*0.2)</f>
        <v>1.0499999999999998</v>
      </c>
    </row>
    <row r="37" spans="10:20">
      <c r="M37" s="9"/>
    </row>
    <row r="40" spans="10:20">
      <c r="M40" t="s">
        <v>75</v>
      </c>
    </row>
    <row r="41" spans="10:20">
      <c r="M41">
        <v>2.6</v>
      </c>
      <c r="N41" t="s">
        <v>72</v>
      </c>
      <c r="P41">
        <v>2.6</v>
      </c>
      <c r="Q41" t="s">
        <v>72</v>
      </c>
    </row>
    <row r="42" spans="10:20">
      <c r="L42" t="s">
        <v>81</v>
      </c>
      <c r="M42">
        <f>12+1.8+0.5*16+0.2*14</f>
        <v>24.6</v>
      </c>
      <c r="N42" t="s">
        <v>148</v>
      </c>
    </row>
    <row r="48" spans="10:20">
      <c r="L48" s="5"/>
    </row>
    <row r="50" spans="3:14">
      <c r="M50" t="s">
        <v>1</v>
      </c>
      <c r="N50" t="s">
        <v>76</v>
      </c>
    </row>
    <row r="51" spans="3:14">
      <c r="L51">
        <f>0.2035/1419.5*1000</f>
        <v>0.14336033814723495</v>
      </c>
      <c r="M51" t="s">
        <v>78</v>
      </c>
      <c r="N51" t="s">
        <v>77</v>
      </c>
    </row>
    <row r="54" spans="3:14">
      <c r="L54">
        <f>0.00000005/24.6*0.1</f>
        <v>2.032520325203252E-10</v>
      </c>
      <c r="M54" t="s">
        <v>163</v>
      </c>
    </row>
    <row r="55" spans="3:14">
      <c r="L55">
        <f>1.05*2.03*10^-10</f>
        <v>2.1315000000000001E-10</v>
      </c>
    </row>
    <row r="56" spans="3:14">
      <c r="M56" s="12"/>
    </row>
    <row r="57" spans="3:14">
      <c r="L57" s="8"/>
    </row>
    <row r="58" spans="3:14">
      <c r="L58" t="s">
        <v>83</v>
      </c>
    </row>
    <row r="59" spans="3:14" ht="18">
      <c r="L59" t="s">
        <v>84</v>
      </c>
    </row>
    <row r="60" spans="3:14">
      <c r="C60" t="s">
        <v>95</v>
      </c>
      <c r="D60" t="s">
        <v>96</v>
      </c>
      <c r="L60" s="1" t="s">
        <v>90</v>
      </c>
      <c r="M60">
        <f>5*12+7+2*16+14</f>
        <v>113</v>
      </c>
      <c r="N60" t="s">
        <v>41</v>
      </c>
    </row>
    <row r="61" spans="3:14">
      <c r="D61" t="s">
        <v>97</v>
      </c>
      <c r="E61" t="s">
        <v>98</v>
      </c>
      <c r="L61" t="s">
        <v>85</v>
      </c>
    </row>
    <row r="62" spans="3:14">
      <c r="C62" t="s">
        <v>101</v>
      </c>
      <c r="D62">
        <v>7.5</v>
      </c>
      <c r="E62" t="s">
        <v>98</v>
      </c>
      <c r="L62" t="s">
        <v>86</v>
      </c>
    </row>
    <row r="63" spans="3:14">
      <c r="C63" t="s">
        <v>102</v>
      </c>
      <c r="D63">
        <v>5.9</v>
      </c>
      <c r="E63" t="s">
        <v>98</v>
      </c>
      <c r="L63" t="s">
        <v>87</v>
      </c>
    </row>
    <row r="64" spans="3:14">
      <c r="C64" s="13" t="s">
        <v>99</v>
      </c>
      <c r="D64" s="13">
        <f>D62-D63</f>
        <v>1.5999999999999996</v>
      </c>
      <c r="E64" s="13" t="s">
        <v>98</v>
      </c>
      <c r="F64" s="13"/>
      <c r="K64">
        <f>17/4</f>
        <v>4.25</v>
      </c>
      <c r="L64" t="s">
        <v>88</v>
      </c>
    </row>
    <row r="65" spans="3:13">
      <c r="C65" s="13" t="s">
        <v>100</v>
      </c>
      <c r="D65" s="13">
        <f>D62+D63</f>
        <v>13.4</v>
      </c>
      <c r="E65" s="13" t="s">
        <v>98</v>
      </c>
      <c r="F65" s="13"/>
      <c r="L65" t="s">
        <v>89</v>
      </c>
    </row>
    <row r="66" spans="3:13">
      <c r="C66" t="s">
        <v>103</v>
      </c>
      <c r="D66">
        <f>D62/227.172/1000</f>
        <v>3.3014632084940045E-5</v>
      </c>
      <c r="E66" t="s">
        <v>104</v>
      </c>
      <c r="L66">
        <f>4.25*32</f>
        <v>136</v>
      </c>
      <c r="M66" t="s">
        <v>91</v>
      </c>
    </row>
    <row r="67" spans="3:13">
      <c r="C67" t="s">
        <v>105</v>
      </c>
      <c r="D67">
        <f>D63/227.172/1000</f>
        <v>2.5971510573486172E-5</v>
      </c>
      <c r="E67" t="s">
        <v>104</v>
      </c>
      <c r="L67">
        <f>L66/M60</f>
        <v>1.2035398230088497</v>
      </c>
      <c r="M67" t="s">
        <v>92</v>
      </c>
    </row>
    <row r="68" spans="3:13">
      <c r="C68" t="s">
        <v>103</v>
      </c>
      <c r="D68">
        <f>D66*24.6</f>
        <v>8.1215994928952515E-4</v>
      </c>
      <c r="E68" t="s">
        <v>106</v>
      </c>
      <c r="L68" t="s">
        <v>164</v>
      </c>
    </row>
    <row r="69" spans="3:13">
      <c r="C69" t="s">
        <v>105</v>
      </c>
      <c r="D69">
        <f>D67*24.6</f>
        <v>6.388991601077599E-4</v>
      </c>
      <c r="E69" t="s">
        <v>106</v>
      </c>
    </row>
    <row r="70" spans="3:13">
      <c r="C70" t="s">
        <v>103</v>
      </c>
      <c r="D70">
        <f>D68*1.075/1.05</f>
        <v>8.3149709093927569E-4</v>
      </c>
      <c r="E70" t="s">
        <v>107</v>
      </c>
    </row>
    <row r="71" spans="3:13">
      <c r="C71" t="s">
        <v>105</v>
      </c>
      <c r="D71">
        <f>D69*1.075/1.05</f>
        <v>6.5411104487223025E-4</v>
      </c>
      <c r="E71" t="s">
        <v>107</v>
      </c>
    </row>
    <row r="75" spans="3:13">
      <c r="C75" s="12" t="s">
        <v>108</v>
      </c>
    </row>
    <row r="76" spans="3:13">
      <c r="D76">
        <v>0.33</v>
      </c>
      <c r="E76" t="s">
        <v>109</v>
      </c>
    </row>
    <row r="77" spans="3:13">
      <c r="D77">
        <v>0.73</v>
      </c>
      <c r="E77" t="s">
        <v>109</v>
      </c>
    </row>
    <row r="78" spans="3:13">
      <c r="D78">
        <f>D76/1000000</f>
        <v>3.3000000000000002E-7</v>
      </c>
      <c r="E78" t="s">
        <v>115</v>
      </c>
    </row>
    <row r="79" spans="3:13">
      <c r="D79">
        <f>D77/1000000</f>
        <v>7.3E-7</v>
      </c>
      <c r="E79" t="s">
        <v>115</v>
      </c>
    </row>
    <row r="80" spans="3:13">
      <c r="D80">
        <f>D78/12</f>
        <v>2.7500000000000001E-8</v>
      </c>
      <c r="E80" t="s">
        <v>110</v>
      </c>
    </row>
    <row r="81" spans="4:12">
      <c r="D81">
        <f>D79/12</f>
        <v>6.0833333333333329E-8</v>
      </c>
      <c r="E81" t="s">
        <v>110</v>
      </c>
    </row>
    <row r="82" spans="4:12">
      <c r="D82">
        <f>D80/0.0000005*0.1</f>
        <v>5.5000000000000014E-3</v>
      </c>
      <c r="E82" t="s">
        <v>111</v>
      </c>
    </row>
    <row r="83" spans="4:12">
      <c r="D83">
        <f>D81/0.0000005*0.1</f>
        <v>1.2166666666666666E-2</v>
      </c>
      <c r="E83" t="s">
        <v>112</v>
      </c>
    </row>
    <row r="84" spans="4:12">
      <c r="D84">
        <f>D82*24.6</f>
        <v>0.13530000000000003</v>
      </c>
      <c r="E84" t="s">
        <v>113</v>
      </c>
    </row>
    <row r="85" spans="4:12">
      <c r="D85">
        <f>D83*24.6</f>
        <v>0.29930000000000001</v>
      </c>
      <c r="E85" t="s">
        <v>113</v>
      </c>
    </row>
    <row r="86" spans="4:12">
      <c r="D86">
        <f>D84*1/1.05</f>
        <v>0.12885714285714289</v>
      </c>
      <c r="E86" t="s">
        <v>114</v>
      </c>
    </row>
    <row r="87" spans="4:12">
      <c r="D87">
        <f>D85*1/1.05</f>
        <v>0.28504761904761905</v>
      </c>
      <c r="E87" t="s">
        <v>114</v>
      </c>
    </row>
    <row r="89" spans="4:12">
      <c r="D89">
        <f>AVERAGE(D87,D86,D70,D125,D126)</f>
        <v>8.4242681454371637E-2</v>
      </c>
      <c r="E89" t="s">
        <v>139</v>
      </c>
      <c r="K89" s="16" t="s">
        <v>119</v>
      </c>
    </row>
    <row r="90" spans="4:12">
      <c r="D90" s="14">
        <v>6.905E-6</v>
      </c>
      <c r="E90" t="s">
        <v>116</v>
      </c>
      <c r="K90">
        <v>0.35</v>
      </c>
      <c r="L90" t="s">
        <v>120</v>
      </c>
    </row>
    <row r="91" spans="4:12">
      <c r="D91" s="14">
        <f>D89*D90</f>
        <v>5.8169571544243611E-7</v>
      </c>
      <c r="E91" t="s">
        <v>117</v>
      </c>
      <c r="K91">
        <f>K90/1000000/24.6</f>
        <v>1.4227642276422762E-8</v>
      </c>
      <c r="L91" t="s">
        <v>121</v>
      </c>
    </row>
    <row r="92" spans="4:12">
      <c r="D92" s="14">
        <f>D91</f>
        <v>5.8169571544243611E-7</v>
      </c>
      <c r="E92" t="s">
        <v>118</v>
      </c>
      <c r="K92">
        <f>K91*1.05</f>
        <v>1.4939024390243901E-8</v>
      </c>
      <c r="L92" t="s">
        <v>122</v>
      </c>
    </row>
    <row r="93" spans="4:12">
      <c r="K93">
        <f>0.00001</f>
        <v>1.0000000000000001E-5</v>
      </c>
      <c r="L93" t="s">
        <v>123</v>
      </c>
    </row>
    <row r="94" spans="4:12">
      <c r="K94">
        <f>K92/K93</f>
        <v>1.4939024390243901E-3</v>
      </c>
      <c r="L94" t="s">
        <v>124</v>
      </c>
    </row>
    <row r="96" spans="4:12">
      <c r="E96" t="s">
        <v>125</v>
      </c>
    </row>
    <row r="97" spans="4:14">
      <c r="D97">
        <v>0.33500000000000002</v>
      </c>
      <c r="E97" s="17" t="s">
        <v>140</v>
      </c>
    </row>
    <row r="98" spans="4:14">
      <c r="D98">
        <v>9.09</v>
      </c>
      <c r="E98" t="s">
        <v>126</v>
      </c>
      <c r="F98" t="s">
        <v>127</v>
      </c>
      <c r="L98" t="s">
        <v>149</v>
      </c>
    </row>
    <row r="99" spans="4:14">
      <c r="D99">
        <v>7.58</v>
      </c>
      <c r="E99" t="s">
        <v>126</v>
      </c>
      <c r="F99" t="s">
        <v>128</v>
      </c>
      <c r="L99">
        <f>AVERAGE(D127, D86:D87,D70)</f>
        <v>0.10371468607138892</v>
      </c>
      <c r="M99" t="s">
        <v>145</v>
      </c>
      <c r="N99" s="16" t="s">
        <v>143</v>
      </c>
    </row>
    <row r="100" spans="4:14">
      <c r="D100">
        <v>7.96</v>
      </c>
      <c r="E100" t="s">
        <v>126</v>
      </c>
      <c r="F100" t="s">
        <v>129</v>
      </c>
      <c r="N100" s="15" t="s">
        <v>144</v>
      </c>
    </row>
    <row r="101" spans="4:14">
      <c r="D101">
        <v>6.52</v>
      </c>
      <c r="E101" t="s">
        <v>126</v>
      </c>
      <c r="F101" t="s">
        <v>130</v>
      </c>
    </row>
    <row r="102" spans="4:14">
      <c r="D102">
        <v>4.71</v>
      </c>
      <c r="E102" s="17" t="s">
        <v>131</v>
      </c>
      <c r="F102" t="s">
        <v>128</v>
      </c>
      <c r="H102">
        <f>AVERAGE(D102:D105)</f>
        <v>4.3424999999999994</v>
      </c>
    </row>
    <row r="103" spans="4:14">
      <c r="D103">
        <v>4.3499999999999996</v>
      </c>
      <c r="E103" s="17" t="s">
        <v>131</v>
      </c>
      <c r="F103" t="s">
        <v>129</v>
      </c>
    </row>
    <row r="104" spans="4:14">
      <c r="D104">
        <v>4.18</v>
      </c>
      <c r="E104" s="17" t="s">
        <v>131</v>
      </c>
      <c r="F104" t="s">
        <v>130</v>
      </c>
    </row>
    <row r="105" spans="4:14">
      <c r="D105">
        <v>4.13</v>
      </c>
      <c r="E105" s="17" t="s">
        <v>131</v>
      </c>
      <c r="F105" t="s">
        <v>127</v>
      </c>
    </row>
    <row r="106" spans="4:14">
      <c r="D106">
        <v>4.3</v>
      </c>
      <c r="E106" s="17" t="s">
        <v>132</v>
      </c>
    </row>
    <row r="107" spans="4:14">
      <c r="D107">
        <v>0.5</v>
      </c>
      <c r="E107" s="17" t="s">
        <v>133</v>
      </c>
    </row>
    <row r="108" spans="4:14">
      <c r="D108">
        <v>14.9</v>
      </c>
      <c r="E108" s="17" t="s">
        <v>135</v>
      </c>
    </row>
    <row r="109" spans="4:14">
      <c r="D109">
        <v>1.9</v>
      </c>
      <c r="E109" s="17" t="s">
        <v>134</v>
      </c>
    </row>
    <row r="110" spans="4:14">
      <c r="D110">
        <v>12.4</v>
      </c>
      <c r="E110" s="17" t="s">
        <v>137</v>
      </c>
    </row>
    <row r="111" spans="4:14">
      <c r="D111">
        <v>1.2</v>
      </c>
      <c r="E111" s="17" t="s">
        <v>136</v>
      </c>
    </row>
    <row r="112" spans="4:14">
      <c r="D112">
        <v>0.01</v>
      </c>
      <c r="E112" s="17" t="s">
        <v>150</v>
      </c>
    </row>
    <row r="113" spans="4:5">
      <c r="D113">
        <v>8.1</v>
      </c>
      <c r="E113" s="17" t="s">
        <v>151</v>
      </c>
    </row>
    <row r="114" spans="4:5">
      <c r="D114" s="18">
        <v>0.15336312500000002</v>
      </c>
      <c r="E114" s="17" t="s">
        <v>160</v>
      </c>
    </row>
    <row r="115" spans="4:5">
      <c r="E115" s="17" t="s">
        <v>138</v>
      </c>
    </row>
    <row r="116" spans="4:5">
      <c r="D116">
        <f>D112/12/1000</f>
        <v>8.3333333333333344E-7</v>
      </c>
      <c r="E116" s="17" t="s">
        <v>152</v>
      </c>
    </row>
    <row r="117" spans="4:5">
      <c r="D117">
        <f>D113/12/1000</f>
        <v>6.7499999999999993E-4</v>
      </c>
      <c r="E117" s="17" t="s">
        <v>153</v>
      </c>
    </row>
    <row r="118" spans="4:5">
      <c r="D118">
        <f>D114/12/1000</f>
        <v>1.2780260416666668E-5</v>
      </c>
      <c r="E118" s="17" t="s">
        <v>141</v>
      </c>
    </row>
    <row r="119" spans="4:5">
      <c r="D119">
        <f>D116/H$102</f>
        <v>1.9190174630589144E-7</v>
      </c>
      <c r="E119" s="17" t="s">
        <v>154</v>
      </c>
    </row>
    <row r="120" spans="4:5">
      <c r="D120">
        <f>D117/H$102</f>
        <v>1.5544041450777204E-4</v>
      </c>
      <c r="E120" s="17" t="s">
        <v>155</v>
      </c>
    </row>
    <row r="121" spans="4:5">
      <c r="D121">
        <f>D118/H$102</f>
        <v>2.9430651506428716E-6</v>
      </c>
      <c r="E121" s="17" t="s">
        <v>142</v>
      </c>
    </row>
    <row r="122" spans="4:5">
      <c r="D122">
        <f>D119*1000/24.6</f>
        <v>7.8008839961744482E-6</v>
      </c>
      <c r="E122" s="17" t="s">
        <v>156</v>
      </c>
    </row>
    <row r="123" spans="4:5">
      <c r="D123">
        <f>D120*1000/24.6</f>
        <v>6.3187160369013026E-3</v>
      </c>
      <c r="E123" s="17" t="s">
        <v>157</v>
      </c>
    </row>
    <row r="124" spans="4:5">
      <c r="D124">
        <f>D121*1000/24.6</f>
        <v>1.1963679474158013E-4</v>
      </c>
      <c r="E124" s="17" t="s">
        <v>161</v>
      </c>
    </row>
    <row r="125" spans="4:5">
      <c r="D125">
        <f>D122*1.075/1.05</f>
        <v>7.9866193294166962E-6</v>
      </c>
      <c r="E125" s="17" t="s">
        <v>158</v>
      </c>
    </row>
    <row r="126" spans="4:5">
      <c r="D126">
        <f>D123*1.075/1.05</f>
        <v>6.4691616568275231E-3</v>
      </c>
      <c r="E126" s="17" t="s">
        <v>159</v>
      </c>
    </row>
    <row r="127" spans="4:5">
      <c r="D127">
        <f>D124*1.075/1.05</f>
        <v>1.224852898544749E-4</v>
      </c>
      <c r="E127" s="17" t="s">
        <v>162</v>
      </c>
    </row>
    <row r="130" spans="4:6" ht="198">
      <c r="D130" s="20" t="s">
        <v>173</v>
      </c>
    </row>
    <row r="131" spans="4:6">
      <c r="D131">
        <f xml:space="preserve"> 1.6*10^-5</f>
        <v>1.6000000000000003E-5</v>
      </c>
      <c r="E131" t="s">
        <v>169</v>
      </c>
      <c r="F131" t="s">
        <v>168</v>
      </c>
    </row>
    <row r="132" spans="4:6">
      <c r="D132">
        <f>D131/3.5</f>
        <v>4.5714285714285719E-6</v>
      </c>
      <c r="E132" t="s">
        <v>170</v>
      </c>
      <c r="F132" t="s">
        <v>179</v>
      </c>
    </row>
    <row r="133" spans="4:6">
      <c r="D133">
        <v>630000</v>
      </c>
      <c r="E133" t="s">
        <v>166</v>
      </c>
      <c r="F133" t="s">
        <v>165</v>
      </c>
    </row>
    <row r="134" spans="4:6">
      <c r="D134">
        <f>D133*1000000000000</f>
        <v>6.3E+17</v>
      </c>
      <c r="E134" t="s">
        <v>167</v>
      </c>
      <c r="F134" t="s">
        <v>165</v>
      </c>
    </row>
    <row r="135" spans="4:6">
      <c r="D135">
        <f>D134*D132</f>
        <v>2880000000000.0005</v>
      </c>
      <c r="E135" t="s">
        <v>171</v>
      </c>
      <c r="F135" t="s">
        <v>172</v>
      </c>
    </row>
    <row r="136" spans="4:6">
      <c r="D136">
        <f>9*12+9+6*16+14</f>
        <v>227</v>
      </c>
      <c r="E136" t="s">
        <v>174</v>
      </c>
      <c r="F136" t="s">
        <v>175</v>
      </c>
    </row>
    <row r="137" spans="4:6">
      <c r="D137">
        <f>D135*D136</f>
        <v>653760000000000.13</v>
      </c>
      <c r="E137" t="s">
        <v>176</v>
      </c>
      <c r="F137" t="s">
        <v>172</v>
      </c>
    </row>
    <row r="138" spans="4:6">
      <c r="D138">
        <f>D137/1000</f>
        <v>653760000000.00012</v>
      </c>
      <c r="E138" t="s">
        <v>177</v>
      </c>
      <c r="F138" t="s">
        <v>172</v>
      </c>
    </row>
    <row r="139" spans="4:6">
      <c r="D139">
        <f>D138/1000</f>
        <v>653760000.00000012</v>
      </c>
      <c r="E139" t="s">
        <v>178</v>
      </c>
      <c r="F139" t="s">
        <v>172</v>
      </c>
    </row>
  </sheetData>
  <hyperlinks>
    <hyperlink ref="L16" r:id="rId1" display="https://www.chemspider.com/Chemical-Structure.32820151.html" xr:uid="{25C36313-9AA2-1245-B790-4702E26FCBD2}"/>
  </hyperlinks>
  <pageMargins left="0.7" right="0.7" top="0.78740157499999996" bottom="0.78740157499999996" header="0.3" footer="0.3"/>
  <pageSetup paperSize="9" orientation="portrait" r:id="rId2"/>
  <drawing r:id="rId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2</vt:i4>
      </vt:variant>
    </vt:vector>
  </HeadingPairs>
  <TitlesOfParts>
    <vt:vector size="2" baseType="lpstr">
      <vt:lpstr>Tabelle1</vt:lpstr>
      <vt:lpstr>calculating_COD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Schmidt Isabel Susanne</dc:creator>
  <cp:lastModifiedBy>Susanne Isabel Schmidt</cp:lastModifiedBy>
  <dcterms:created xsi:type="dcterms:W3CDTF">2025-01-31T16:38:44Z</dcterms:created>
  <dcterms:modified xsi:type="dcterms:W3CDTF">2025-12-02T16:04:08Z</dcterms:modified>
</cp:coreProperties>
</file>