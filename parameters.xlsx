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elle1" sheetId="1" r:id="rId4"/>
    <sheet name="calculating_COD" sheetId="2" r:id="rId5"/>
  </sheets>
</workbook>
</file>

<file path=xl/comments1.xml><?xml version="1.0" encoding="utf-8"?>
<comments xmlns="http://schemas.openxmlformats.org/spreadsheetml/2006/main">
  <authors>
    <author>Susanne Schmidt</author>
  </authors>
  <commentList>
    <comment ref="Q3" authorId="0">
      <text>
        <r>
          <rPr>
            <sz val="11"/>
            <color indexed="8"/>
            <rFont val="Helvetica Neue"/>
          </rPr>
          <t>Susanne Schmidt:
at this stage not used</t>
        </r>
      </text>
    </comment>
    <comment ref="AC3" authorId="0">
      <text>
        <r>
          <rPr>
            <sz val="11"/>
            <color indexed="8"/>
            <rFont val="Helvetica Neue"/>
          </rPr>
          <t>Susanne Schmidt:
at this stage not used</t>
        </r>
      </text>
    </comment>
  </commentList>
</comments>
</file>

<file path=xl/sharedStrings.xml><?xml version="1.0" encoding="utf-8"?>
<sst xmlns="http://schemas.openxmlformats.org/spreadsheetml/2006/main" uniqueCount="210">
  <si>
    <t>notes</t>
  </si>
  <si>
    <t>time step</t>
  </si>
  <si>
    <t>0 = actually measured data; any other number: increase of temperature by this value</t>
  </si>
  <si>
    <t>average precipita-tion Sumava, to deal with Kopacek TOC in precipita-tion. Mean of 1402 and 1437 mm/year, which are the yearly precipita-tiosn for Plesne and Certovo respectively (Kopacek et al., 2009: Canopy leaching .. )</t>
  </si>
  <si>
    <t>fraction of precipitation recharged to groundwater.  ca. 8% Seidenfaden et al. 2023</t>
  </si>
  <si>
    <t>concentration total organic carbon (TOC) in precipita-tion: 208 in Plesne, 199 mmol / m^2 / yr in Certovo; i.e. 203.5 on average; J. Kopacek et al. 2008; Kopacek, J., Turek, J., Hejzlar, J., Santruckova, H., 2009. Canopy leaching of nutrients and metals in a mountain spruce forest. Atmospheric Environment 43, 5443–5453. https://doi.org/10.1016/j.atmosenv.2009.07.031</t>
  </si>
  <si>
    <t>factor how many times of TOC there is carbon bound in detritus; assuming that through soil passage, the TOC from precipita-tion is degraded, but a lot more detritus is mobilised</t>
  </si>
  <si>
    <t>through soil passage, the TOC from precipita-tion is degraded, but detritus is mobilised ; assuming "factor_how_many_times_Detritus_compared_to_TOC" times as much detritus mobilized as TOC from preciptation</t>
  </si>
  <si>
    <t xml:space="preserve">fraction of detritus  becoming  BOC </t>
  </si>
  <si>
    <t>depth of gw aquifer, in order to derive volume to which to relate input of moles</t>
  </si>
  <si>
    <t>tempera-ture at which lab measure-ments</t>
  </si>
  <si>
    <t>in Gerritse et al. (1992): 10.6 g- mol-1, i.e. 10.6/12 mol biomass / mol acetate -"Expressed as grams of cell carbon produced per mole of carbon substrate consumed." This was multiplied with 1.07 mol COD / mol biomass and divided by 2 mol COD / mol acetate</t>
  </si>
  <si>
    <t>rate constant per hour for bacterial uptake and oxidation of acetate Gerritse et al. (1992), assuming COD can be degraded like acetate, which is a bold assumption</t>
  </si>
  <si>
    <t>upscaling from hour to day (*24) and calculating COD by the ratio of mol COD / mol acetate of 1.066</t>
  </si>
  <si>
    <t>Alternative-ly , 0.1 as in Lindeman (1924). Thats dry mass already.</t>
  </si>
  <si>
    <t>the factor with which maximum measured biomass of microorga-nisms was multiplied to derive carrying capacity of microorganisms</t>
  </si>
  <si>
    <t>microbial loss factor in scenarios where there is no fauna - i.e. cell respiration, grazing through the microbial loop, cell death etc.</t>
  </si>
  <si>
    <t>choose 1 for with fauna, or 0 for without fauna - for comparing scenarios</t>
  </si>
  <si>
    <t>Foulquier et al. 2024</t>
  </si>
  <si>
    <t>excretion rate of fauna, as a fraction; constant rate; excretion is biodegra-dable organic carbon (BOC) and added to that pool</t>
  </si>
  <si>
    <t>the factor with which maximum measured biomass of fauna was multiplied to derive carrying capacity of fauna</t>
  </si>
  <si>
    <t>100% survival at 12 degrees, between 50 and 100% at 16 degrees, between 0 and50% at 20 degrees (Brielmann 2011). Assuming that half of the fauna population behaves like amphipods and half like asellids, 100% survival at 12 degrees, (75% survival at 16 degrees,) 25 % at 20 degrees. Taking the endpoint 20 degrees, 0.25 of the population survives after an increase by 8 degrees. This means that 0.75 have died. Thus , for each degree of increase, 0.75/8 = 0.09375 , roughly 1 % of the individuals die.    above or below 12 degree</t>
  </si>
  <si>
    <t>parameters and forcing functions</t>
  </si>
  <si>
    <t>[switch: 1 = daily, 2 = monthly]</t>
  </si>
  <si>
    <t>°C</t>
  </si>
  <si>
    <t xml:space="preserve">mm /  year </t>
  </si>
  <si>
    <t>[fraction]</t>
  </si>
  <si>
    <t xml:space="preserve">mmol / m^2 / year </t>
  </si>
  <si>
    <t>mmol / m^3</t>
  </si>
  <si>
    <t>mol COD / m^3</t>
  </si>
  <si>
    <t>mol COD / L</t>
  </si>
  <si>
    <t>per day</t>
  </si>
  <si>
    <t>m</t>
  </si>
  <si>
    <t>[switch]</t>
  </si>
  <si>
    <t>mol COD of biomass / mol COD acetate</t>
  </si>
  <si>
    <t>mol COD of acetate / L</t>
  </si>
  <si>
    <t>mol COD of MO dry mass / L</t>
  </si>
  <si>
    <t>per h</t>
  </si>
  <si>
    <t>mol COD / mol COD / h</t>
  </si>
  <si>
    <t>mol COD of fauna dry mass / mol COD dry massMO</t>
  </si>
  <si>
    <t>scenario</t>
  </si>
  <si>
    <t>run</t>
  </si>
  <si>
    <t>dt</t>
  </si>
  <si>
    <t>max_t</t>
  </si>
  <si>
    <t>temperature_scenario</t>
  </si>
  <si>
    <t>average_precipitation_mm_yr</t>
  </si>
  <si>
    <t>recharge_fraction_of_precipitation</t>
  </si>
  <si>
    <t>TOC_mol_m2_yr_precipitation</t>
  </si>
  <si>
    <t>TOC_mol_per_m3_precipitation</t>
  </si>
  <si>
    <t>TOC_COD_mol_m3_precipitation</t>
  </si>
  <si>
    <t>TOC_COD_mol_per_L_precipitation</t>
  </si>
  <si>
    <t>factor_how_many_times_Detritus_compared_to_TOC</t>
  </si>
  <si>
    <t>Detritus_COD_mol_m3_precipitation</t>
  </si>
  <si>
    <t>k1</t>
  </si>
  <si>
    <t>aquifer_depth</t>
  </si>
  <si>
    <t>scenario_with_1_or_without_0_MO</t>
  </si>
  <si>
    <t>import_MO_het</t>
  </si>
  <si>
    <t>growth_model_MO</t>
  </si>
  <si>
    <t>k_temp</t>
  </si>
  <si>
    <t>yield_ac</t>
  </si>
  <si>
    <t>K_ac</t>
  </si>
  <si>
    <t>K_MO_at_temp</t>
  </si>
  <si>
    <t>rMO_acetate_uptake_h_at_lab_temperature</t>
  </si>
  <si>
    <t>rMO_COD_uptake_per_day_at_lab_temperature</t>
  </si>
  <si>
    <t>yield_MO</t>
  </si>
  <si>
    <t>factor_CC_MO</t>
  </si>
  <si>
    <t>microbe_loss_factor_when_no_fauna</t>
  </si>
  <si>
    <t>scenario_with_1_or_without_0_fauna</t>
  </si>
  <si>
    <t>import_fauna</t>
  </si>
  <si>
    <t>rFauna_MO_uptake_per_day_at_TEMP</t>
  </si>
  <si>
    <t>excretionRate</t>
  </si>
  <si>
    <t>mortalityRate</t>
  </si>
  <si>
    <t>factor_CC_fauna</t>
  </si>
  <si>
    <t>growth_model_fauna</t>
  </si>
  <si>
    <t>mortalityFraction_per_degree</t>
  </si>
  <si>
    <t>reference (ref.)</t>
  </si>
  <si>
    <t>HMML</t>
  </si>
  <si>
    <t>"   no fauna</t>
  </si>
  <si>
    <t>1.5° increase in temperature</t>
  </si>
  <si>
    <t xml:space="preserve">   " no fauna</t>
  </si>
  <si>
    <t>3° increase in temperature</t>
  </si>
  <si>
    <t>ref., lowest k1</t>
  </si>
  <si>
    <t>ref., highest k1</t>
  </si>
  <si>
    <t>ref., lowest yield</t>
  </si>
  <si>
    <t>ref., highest yield</t>
  </si>
  <si>
    <t>https://en.wikipedia.org/wiki/Chemical_oxygen_demand</t>
  </si>
  <si>
    <r>
      <rPr>
        <u val="single"/>
        <sz val="12"/>
        <color indexed="16"/>
        <rFont val="Calibri"/>
      </rPr>
      <t>C9H9NO6, and an average mass of 227.172 g / mol (ID: 32820151; https://www.chemspider.com/Chemical-Structure.32820151.html</t>
    </r>
  </si>
  <si>
    <t>humic acid</t>
  </si>
  <si>
    <t>formula</t>
  </si>
  <si>
    <t>n</t>
  </si>
  <si>
    <t>a</t>
  </si>
  <si>
    <t>b</t>
  </si>
  <si>
    <t>c</t>
  </si>
  <si>
    <t>COD [mol O2 per mol substrate]</t>
  </si>
  <si>
    <t>C9H9O6N1 + (9+9/4-12/4-3/4*1)O2 --&gt; 9CO2 + (9/2 - 3/2*1)H2O + 1NH3</t>
  </si>
  <si>
    <t>C6H12O6N1</t>
  </si>
  <si>
    <t>C9H9O6N1 + ((36+9-12-3)/4)O2 --&gt; 9CO2 + 3H2O + 1NH3</t>
  </si>
  <si>
    <t>C9H9O6N1 + 7.5 O2 --&gt; 9CO2 + 3H2O + 1NH3</t>
  </si>
  <si>
    <t>molar mass g / mol</t>
  </si>
  <si>
    <t>i.e. 7.5 mole O2 for each mole organics</t>
  </si>
  <si>
    <t>acetate</t>
  </si>
  <si>
    <t>C2H4O2N0 + (2+4/4-3/4)O2 --&gt; 9CO2 + (4/2 - 3/2*1)H2O + 1NH3</t>
  </si>
  <si>
    <t xml:space="preserve"> C2H4O2N0</t>
  </si>
  <si>
    <t>i.e. 2.25 mole O2 for each mole organics</t>
  </si>
  <si>
    <r>
      <rPr>
        <b val="1"/>
        <sz val="12"/>
        <color indexed="8"/>
        <rFont val="Calibri"/>
      </rPr>
      <t>biomass</t>
    </r>
    <r>
      <rPr>
        <sz val="12"/>
        <color indexed="8"/>
        <rFont val="Calibri"/>
      </rPr>
      <t xml:space="preserve"> C1 H1.8 O0.5 N0.2 (Heijnen, 2006),   (Heijnen book chapter in Basic Biotechnology; Stouthamer 1979) </t>
    </r>
  </si>
  <si>
    <r>
      <rPr>
        <sz val="12"/>
        <color indexed="8"/>
        <rFont val="Calibri"/>
      </rPr>
      <t>It was assumed that biomass can be summarized with an average composition oC</t>
    </r>
    <r>
      <rPr>
        <vertAlign val="subscript"/>
        <sz val="12"/>
        <color indexed="8"/>
        <rFont val="Calibri"/>
      </rPr>
      <t>1</t>
    </r>
    <r>
      <rPr>
        <sz val="12"/>
        <color indexed="8"/>
        <rFont val="Calibri"/>
      </rPr>
      <t xml:space="preserve"> H</t>
    </r>
    <r>
      <rPr>
        <vertAlign val="subscript"/>
        <sz val="12"/>
        <color indexed="8"/>
        <rFont val="Calibri"/>
      </rPr>
      <t>1.8</t>
    </r>
    <r>
      <rPr>
        <sz val="12"/>
        <color indexed="8"/>
        <rFont val="Calibri"/>
      </rPr>
      <t xml:space="preserve"> O</t>
    </r>
    <r>
      <rPr>
        <vertAlign val="subscript"/>
        <sz val="12"/>
        <color indexed="8"/>
        <rFont val="Calibri"/>
      </rPr>
      <t>0.5</t>
    </r>
    <r>
      <rPr>
        <sz val="12"/>
        <color indexed="8"/>
        <rFont val="Calibri"/>
      </rPr>
      <t xml:space="preserve"> N</t>
    </r>
    <r>
      <rPr>
        <vertAlign val="subscript"/>
        <sz val="12"/>
        <color indexed="8"/>
        <rFont val="Calibri"/>
      </rPr>
      <t>0.2</t>
    </r>
    <r>
      <rPr>
        <sz val="12"/>
        <color indexed="8"/>
        <rFont val="Calibri"/>
      </rPr>
      <t xml:space="preserve"> (Heijnen, 2006)</t>
    </r>
    <r>
      <rPr>
        <sz val="8"/>
        <color indexed="8"/>
        <rFont val="Calibri"/>
      </rPr>
      <t> </t>
    </r>
    <r>
      <rPr>
        <sz val="12"/>
        <color indexed="8"/>
        <rFont val="Calibri"/>
      </rPr>
      <t>. Thus, the stoichiometry for the complete oxidation of biomass was derived as C</t>
    </r>
    <r>
      <rPr>
        <vertAlign val="subscript"/>
        <sz val="12"/>
        <color indexed="8"/>
        <rFont val="Calibri"/>
      </rPr>
      <t>1</t>
    </r>
    <r>
      <rPr>
        <sz val="12"/>
        <color indexed="8"/>
        <rFont val="Calibri"/>
      </rPr>
      <t xml:space="preserve"> H</t>
    </r>
    <r>
      <rPr>
        <vertAlign val="subscript"/>
        <sz val="12"/>
        <color indexed="8"/>
        <rFont val="Calibri"/>
      </rPr>
      <t>1.8</t>
    </r>
    <r>
      <rPr>
        <sz val="12"/>
        <color indexed="8"/>
        <rFont val="Calibri"/>
      </rPr>
      <t xml:space="preserve"> O</t>
    </r>
    <r>
      <rPr>
        <vertAlign val="subscript"/>
        <sz val="12"/>
        <color indexed="8"/>
        <rFont val="Calibri"/>
      </rPr>
      <t>0.5</t>
    </r>
    <r>
      <rPr>
        <sz val="12"/>
        <color indexed="8"/>
        <rFont val="Calibri"/>
      </rPr>
      <t xml:space="preserve"> N</t>
    </r>
    <r>
      <rPr>
        <vertAlign val="subscript"/>
        <sz val="12"/>
        <color indexed="8"/>
        <rFont val="Calibri"/>
      </rPr>
      <t>0.2</t>
    </r>
    <r>
      <rPr>
        <sz val="12"/>
        <color indexed="8"/>
        <rFont val="Calibri"/>
      </rPr>
      <t xml:space="preserve"> + 1.45 O</t>
    </r>
    <r>
      <rPr>
        <vertAlign val="subscript"/>
        <sz val="12"/>
        <color indexed="8"/>
        <rFont val="Calibri"/>
      </rPr>
      <t>2</t>
    </r>
    <r>
      <rPr>
        <sz val="12"/>
        <color indexed="8"/>
        <rFont val="Calibri"/>
      </rPr>
      <t xml:space="preserve"> →  CO</t>
    </r>
    <r>
      <rPr>
        <vertAlign val="subscript"/>
        <sz val="12"/>
        <color indexed="8"/>
        <rFont val="Calibri"/>
      </rPr>
      <t>2</t>
    </r>
    <r>
      <rPr>
        <sz val="12"/>
        <color indexed="8"/>
        <rFont val="Calibri"/>
      </rPr>
      <t xml:space="preserve"> + 0.8 H</t>
    </r>
    <r>
      <rPr>
        <vertAlign val="subscript"/>
        <sz val="12"/>
        <color indexed="8"/>
        <rFont val="Calibri"/>
      </rPr>
      <t>2</t>
    </r>
    <r>
      <rPr>
        <sz val="12"/>
        <color indexed="8"/>
        <rFont val="Calibri"/>
      </rPr>
      <t>O + 0.2 HNO</t>
    </r>
    <r>
      <rPr>
        <vertAlign val="subscript"/>
        <sz val="12"/>
        <color indexed="8"/>
        <rFont val="Calibri"/>
      </rPr>
      <t>3</t>
    </r>
    <r>
      <rPr>
        <sz val="12"/>
        <color indexed="8"/>
        <rFont val="Calibri"/>
      </rPr>
      <t>. This means that 1.45 moles of O2 are needed for the oxidation of biomass, thus 1.45 g COD / g biomass</t>
    </r>
  </si>
  <si>
    <t xml:space="preserve">C1 H1.8 O0.5 N0.2 </t>
  </si>
  <si>
    <t>C1 H1.8 O0.5 N0.2  + (1+1.8/4 -  .5/2 -3/4*.2)O2 --&gt; 1CO2 + (1.8/2 - 3/2*.2)H2O + .2NH3</t>
  </si>
  <si>
    <t>C1 H1.8 O0.5 N0.2  + 1.05O2 --&gt; 1CO2 + .6H2O + .2NH3</t>
  </si>
  <si>
    <r>
      <rPr>
        <sz val="12"/>
        <color indexed="8"/>
        <rFont val="Calibri"/>
      </rPr>
      <t>C1 H1.8 O0.5 N0.2  + 1.05O2 --&gt; 1CO2 + .6H2O + .2</t>
    </r>
    <r>
      <rPr>
        <sz val="12"/>
        <color indexed="15"/>
        <rFont val="Calibri (Textkörper)"/>
      </rPr>
      <t>NH3</t>
    </r>
  </si>
  <si>
    <t>O</t>
  </si>
  <si>
    <t>molar mass</t>
  </si>
  <si>
    <t xml:space="preserve">g/mol </t>
  </si>
  <si>
    <t>unit</t>
  </si>
  <si>
    <t>note</t>
  </si>
  <si>
    <t xml:space="preserve">  mol /  L</t>
  </si>
  <si>
    <t xml:space="preserve"> flux mole / m^2/year divided by (precipitatoin in L/m^2/year divided by 1000)</t>
  </si>
  <si>
    <t xml:space="preserve"> Assuming an average individual dry mass of 0.0005 mg (Di Lorenzo et al., 2025) and an average abundance of 1 such individual per L, i.e. 0.0000005 g / L, assuming 24.6 g / mol for biomass (see above, this can be expressed as 2.03E-10 mol / L faunal dry mass present in the aquifer.</t>
  </si>
  <si>
    <r>
      <rPr>
        <b val="1"/>
        <sz val="12"/>
        <color indexed="8"/>
        <rFont val="Calibri"/>
      </rPr>
      <t>biomass</t>
    </r>
    <r>
      <rPr>
        <sz val="12"/>
        <color indexed="8"/>
        <rFont val="Calibri"/>
      </rPr>
      <t xml:space="preserve"> C5 H7 O2 N (Grady, 2011)</t>
    </r>
  </si>
  <si>
    <r>
      <rPr>
        <sz val="12"/>
        <color indexed="8"/>
        <rFont val="Calibri"/>
      </rPr>
      <t>Thus, the stoichiometry for the complete oxidation of biomass was derived as C5 H7 O2 N + 1.45 O</t>
    </r>
    <r>
      <rPr>
        <vertAlign val="subscript"/>
        <sz val="12"/>
        <color indexed="8"/>
        <rFont val="Calibri"/>
      </rPr>
      <t>2</t>
    </r>
    <r>
      <rPr>
        <sz val="12"/>
        <color indexed="8"/>
        <rFont val="Calibri"/>
      </rPr>
      <t xml:space="preserve"> →  CO</t>
    </r>
    <r>
      <rPr>
        <vertAlign val="subscript"/>
        <sz val="12"/>
        <color indexed="8"/>
        <rFont val="Calibri"/>
      </rPr>
      <t>2</t>
    </r>
    <r>
      <rPr>
        <sz val="12"/>
        <color indexed="8"/>
        <rFont val="Calibri"/>
      </rPr>
      <t xml:space="preserve"> + 0.8 H</t>
    </r>
    <r>
      <rPr>
        <vertAlign val="subscript"/>
        <sz val="12"/>
        <color indexed="8"/>
        <rFont val="Calibri"/>
      </rPr>
      <t>2</t>
    </r>
    <r>
      <rPr>
        <sz val="12"/>
        <color indexed="8"/>
        <rFont val="Calibri"/>
      </rPr>
      <t>O + 0.2 HNO</t>
    </r>
    <r>
      <rPr>
        <vertAlign val="subscript"/>
        <sz val="12"/>
        <color indexed="8"/>
        <rFont val="Calibri"/>
      </rPr>
      <t>3</t>
    </r>
    <r>
      <rPr>
        <sz val="12"/>
        <color indexed="8"/>
        <rFont val="Calibri"/>
      </rPr>
      <t>. This means that 1.45 moles of O2 are needed for the oxidation of biomass, thus 1.45 g COD / g biomass</t>
    </r>
  </si>
  <si>
    <t>Navel 2011</t>
  </si>
  <si>
    <t>uptake by N. rhenorhodanensis</t>
  </si>
  <si>
    <t>molar weight</t>
  </si>
  <si>
    <t>g/mol</t>
  </si>
  <si>
    <t>7.5 ± 5.9</t>
  </si>
  <si>
    <t>mg OM / day / (g dry niphargid)</t>
  </si>
  <si>
    <t>C5 H7 O2 N  + (5+7/4 -  2/2 -3/2*1)O2 --&gt; 5CO2 + (7/2 - 3/2*1)H2O + 1NH3</t>
  </si>
  <si>
    <t>mean</t>
  </si>
  <si>
    <t>C5 H7 O2 N  + (5+7/4 -  4/4 -6/4)O2 --&gt; 5CO2 + (4/2*1)H2O + 1NH3</t>
  </si>
  <si>
    <t>range</t>
  </si>
  <si>
    <t>C5 H7 O2 N  + (20/4 -3/4)O2 --&gt; 5CO2 + (4/2*1)H2O + 1NH3</t>
  </si>
  <si>
    <t>min</t>
  </si>
  <si>
    <t>C5 H7 O2 N  + 17/4O2 --&gt; 5CO2 + 2H2O + 1NH3</t>
  </si>
  <si>
    <t xml:space="preserve">max </t>
  </si>
  <si>
    <r>
      <rPr>
        <sz val="12"/>
        <color indexed="8"/>
        <rFont val="Calibri"/>
      </rPr>
      <t xml:space="preserve">C5 H7 O2 N  + </t>
    </r>
    <r>
      <rPr>
        <b val="1"/>
        <sz val="12"/>
        <color indexed="8"/>
        <rFont val="Calibri"/>
      </rPr>
      <t>4.25</t>
    </r>
    <r>
      <rPr>
        <sz val="12"/>
        <color indexed="8"/>
        <rFont val="Calibri"/>
      </rPr>
      <t>O2 --&gt; 5CO2 + 2H2O + 1NH3</t>
    </r>
  </si>
  <si>
    <t>mean HA</t>
  </si>
  <si>
    <t>mol OM_HA / day / (g dry niphargid)</t>
  </si>
  <si>
    <t xml:space="preserve">g COD </t>
  </si>
  <si>
    <t>range HA</t>
  </si>
  <si>
    <t>g COD / g biomass</t>
  </si>
  <si>
    <t>mol OM_HA / day / (mol dry niphargid)</t>
  </si>
  <si>
    <t xml:space="preserve">but Grady says 1.4 g COD / g biomass. So that is ox to Nitrate ?! </t>
  </si>
  <si>
    <t>mol COD of OM_HA  / day / (mol COD of dry niphargid)</t>
  </si>
  <si>
    <t xml:space="preserve">The carbon ingestion rates measured by Di Lorenzo et al. (2025) were 0.33 and 0.73 μg C / ind / d. Assuming an average individual dry mass of 0.0005 mg (Di Lorenzo et al., 2025) and an average abundance of 1 such individual per L, i.e. 0.0000005 g / L, this translates to </t>
  </si>
  <si>
    <t>μg C / ind / d</t>
  </si>
  <si>
    <t>g C / ind / d</t>
  </si>
  <si>
    <t>mol C / ind / d</t>
  </si>
  <si>
    <t>mol C / (g dry mass   )/ d</t>
  </si>
  <si>
    <t>mol C / (g dry mass )/ d</t>
  </si>
  <si>
    <t>mol C / (mol dry mass ) / d</t>
  </si>
  <si>
    <t>mol COD / (mol dry mass COD ) / d</t>
  </si>
  <si>
    <t>average (Di Lorenzo, Navel, Mermillod-Blondin) mol COD / (mol dry mass COD ) / d</t>
  </si>
  <si>
    <r>
      <rPr>
        <sz val="12"/>
        <color indexed="8"/>
        <rFont val="Calibri"/>
      </rPr>
      <t xml:space="preserve">Equating organic carbon to biofilm, we used the growth rate measured by (Foulquier et al., 2010) of 0.35  and using a biomass molar mass of 24.6 g/mol (see above), 1.05 mol COD/mol biomass (see above) this translates to </t>
    </r>
  </si>
  <si>
    <t>average dry mass COD / L in Fulda Aue</t>
  </si>
  <si>
    <t>µg C bacteria / day</t>
  </si>
  <si>
    <t>average mol COD / L/ d</t>
  </si>
  <si>
    <t>mol C bacteria / day</t>
  </si>
  <si>
    <t>Ks mol COD / L</t>
  </si>
  <si>
    <t>mol COD bacteria / day</t>
  </si>
  <si>
    <t>average COD bacterial dry mass of  mol COD / L FuldaAue</t>
  </si>
  <si>
    <t>/ day</t>
  </si>
  <si>
    <t>Mermillod-Blondin 2025</t>
  </si>
  <si>
    <t xml:space="preserve">mean indi- vidual dry mass of groundwater species:  mg) </t>
  </si>
  <si>
    <t>% N per dry mass</t>
  </si>
  <si>
    <t xml:space="preserve"> P. cantabricus,</t>
  </si>
  <si>
    <t xml:space="preserve"> / d, i.e. growth</t>
  </si>
  <si>
    <t xml:space="preserve">P. meridianus, </t>
  </si>
  <si>
    <t xml:space="preserve">mol COD carbon / (mol COD dry mass) / d </t>
  </si>
  <si>
    <r>
      <rPr>
        <sz val="12"/>
        <color indexed="8"/>
        <rFont val="Calibri"/>
      </rPr>
      <t xml:space="preserve">Taking the approximate average of 0.1 and 0.3 mol COD carbon / (mol COD dry mass) / d from the Di Lorenzo study, the average 0.00012 mol biofilm COD / mol fauna COD / d. </t>
    </r>
  </si>
  <si>
    <t xml:space="preserve">P. valdensis </t>
  </si>
  <si>
    <r>
      <rPr>
        <sz val="12"/>
        <color indexed="8"/>
        <rFont val="Calibri"/>
      </rPr>
      <t xml:space="preserve">(Mermillod-Blondin et al., 2025), and 0.0008 mol COD OM / day / (mol COD dry niphargid) </t>
    </r>
  </si>
  <si>
    <t xml:space="preserve">P. banyulensis, </t>
  </si>
  <si>
    <t xml:space="preserve">mean C:N ratios </t>
  </si>
  <si>
    <t xml:space="preserve">mean C:N ratios of the sedimentary biofilm </t>
  </si>
  <si>
    <t xml:space="preserve">sd C:N ratios of the sedimentary biofilm </t>
  </si>
  <si>
    <r>
      <rPr>
        <sz val="11"/>
        <color indexed="8"/>
        <rFont val="AGaramondPro"/>
      </rPr>
      <t xml:space="preserve"> The mean C:N ratios of CPOM ( </t>
    </r>
    <r>
      <rPr>
        <sz val="11"/>
        <color indexed="8"/>
        <rFont val="STIXGeneral-Regular"/>
      </rPr>
      <t xml:space="preserve">± </t>
    </r>
    <r>
      <rPr>
        <sz val="11"/>
        <color indexed="8"/>
        <rFont val="AGaramondPro"/>
      </rPr>
      <t xml:space="preserve">) and FPOM ( </t>
    </r>
    <r>
      <rPr>
        <sz val="11"/>
        <color indexed="8"/>
        <rFont val="STIXGeneral-Regular"/>
      </rPr>
      <t xml:space="preserve">± </t>
    </r>
    <r>
      <rPr>
        <sz val="11"/>
        <color indexed="8"/>
        <rFont val="AGaramondPro"/>
      </rPr>
      <t xml:space="preserve">) were comparable but they were markedly higher than those measured on sedimentary biofilm and isopods. </t>
    </r>
  </si>
  <si>
    <t>sd C:N ratios of CPOM</t>
  </si>
  <si>
    <t>mean C:N ratios of FPOM</t>
  </si>
  <si>
    <t>sd C:N ratios of FPOM</t>
  </si>
  <si>
    <t>min CPOM processing rate mg C / mg N fauna / d</t>
  </si>
  <si>
    <t xml:space="preserve">max CPOM processing rate mg C / mg N fauna / d </t>
  </si>
  <si>
    <t>mean microbial processing rate mg C / mg N fauna / d  ( SI table)</t>
  </si>
  <si>
    <t>FPOM processing was lower, lets focus on CPOM</t>
  </si>
  <si>
    <t>min CPOM processing rate mol C / mg N fauna / d</t>
  </si>
  <si>
    <t>max CPOM processing rate mol C / mg N fauna / d</t>
  </si>
  <si>
    <t>mean CPOM processing rate mol C / mg N fauna / d ( SI)</t>
  </si>
  <si>
    <t>min CPOM processing rate mol C / mg C fauna / d</t>
  </si>
  <si>
    <t>max CPOM processing rate mol C / mg C fauna / d</t>
  </si>
  <si>
    <t>meann bact processing rate mol C / mg C fauna / d ( SI)</t>
  </si>
  <si>
    <t>min CPOM processing rate mol C / mol C fauna / d</t>
  </si>
  <si>
    <t>max CPOM processing rate mol C / mol C fauna / d</t>
  </si>
  <si>
    <t>mean MO processing rate mol C / mol C fauna / d ( SI)</t>
  </si>
  <si>
    <t>min CPOM COD processing rate mol C / mol COD fauna / d</t>
  </si>
  <si>
    <t>max CPOM COD processing rate mol C / mol COD fauna / d</t>
  </si>
  <si>
    <t>mean MO COD processing rate mol C / mol COD fauna / d (SI)</t>
  </si>
  <si>
    <t xml:space="preserve"> this translates to 1.81E+04 t BOC / year. This is the additional load of COD that drinking water production needs to reduce globally under a +3°C scenario when and if groundwater fauna has become extinct.</t>
  </si>
  <si>
    <t>mol / L / 3.5 years</t>
  </si>
  <si>
    <t>COD difference in BOC between reference and no fauna in the mixing zone "M" zone after 3.5 years,</t>
  </si>
  <si>
    <t>mol / L / year</t>
  </si>
  <si>
    <t>difference between reference and +3deg C in the River zone per  year,</t>
  </si>
  <si>
    <t xml:space="preserve">km3 </t>
  </si>
  <si>
    <t xml:space="preserve"> globally, average of for renewable groundwater (Abbott et al. 2019)</t>
  </si>
  <si>
    <t>L</t>
  </si>
  <si>
    <t>mol / year</t>
  </si>
  <si>
    <t>not degraded by groundwater ecosystem</t>
  </si>
  <si>
    <t xml:space="preserve">g / mol </t>
  </si>
  <si>
    <t>molar weight of humic acid (see above)</t>
  </si>
  <si>
    <t>g / year</t>
  </si>
  <si>
    <t>kg / year</t>
  </si>
  <si>
    <t>t/ year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</si>
</sst>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"/>
    <numFmt numFmtId="60" formatCode="0.000000"/>
    <numFmt numFmtId="61" formatCode="0.0000000"/>
  </numFmts>
  <fonts count="17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11"/>
      <name val="Menlo Regular"/>
    </font>
    <font>
      <sz val="11"/>
      <color indexed="8"/>
      <name val="Helvetica Neue"/>
    </font>
    <font>
      <sz val="12"/>
      <color indexed="13"/>
      <name val="Calibri"/>
    </font>
    <font>
      <sz val="12"/>
      <color indexed="15"/>
      <name val="Calibri"/>
    </font>
    <font>
      <u val="single"/>
      <sz val="12"/>
      <color indexed="16"/>
      <name val="Calibri"/>
    </font>
    <font>
      <b val="1"/>
      <sz val="12"/>
      <color indexed="8"/>
      <name val="Calibri"/>
    </font>
    <font>
      <vertAlign val="subscript"/>
      <sz val="12"/>
      <color indexed="8"/>
      <name val="Calibri"/>
    </font>
    <font>
      <sz val="8"/>
      <color indexed="8"/>
      <name val="Calibri"/>
    </font>
    <font>
      <sz val="10"/>
      <color indexed="8"/>
      <name val="Times New Roman"/>
    </font>
    <font>
      <sz val="12"/>
      <color indexed="15"/>
      <name val="Calibri (Textkörper)"/>
    </font>
    <font>
      <sz val="12"/>
      <color indexed="8"/>
      <name val="Times New Roman"/>
    </font>
    <font>
      <sz val="12"/>
      <color indexed="17"/>
      <name val="Calibri"/>
    </font>
    <font>
      <sz val="11"/>
      <color indexed="8"/>
      <name val="AGaramondPro"/>
    </font>
    <font>
      <sz val="11"/>
      <color indexed="8"/>
      <name val="STIXGeneral-Regula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0" fontId="0" fillId="2" borderId="7" applyNumberFormat="1" applyFont="1" applyFill="1" applyBorder="1" applyAlignment="1" applyProtection="0">
      <alignment vertical="bottom"/>
    </xf>
    <xf numFmtId="2" fontId="0" fillId="2" borderId="2" applyNumberFormat="1" applyFont="1" applyFill="1" applyBorder="1" applyAlignment="1" applyProtection="0">
      <alignment vertical="bottom"/>
    </xf>
    <xf numFmtId="60" fontId="0" fillId="2" borderId="5" applyNumberFormat="1" applyFont="1" applyFill="1" applyBorder="1" applyAlignment="1" applyProtection="0">
      <alignment vertical="bottom"/>
    </xf>
    <xf numFmtId="0" fontId="0" fillId="3" borderId="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vertical="bottom"/>
    </xf>
    <xf numFmtId="0" fontId="11" fillId="2" borderId="1" applyNumberFormat="0" applyFont="1" applyFill="1" applyBorder="1" applyAlignment="1" applyProtection="0">
      <alignment vertical="bottom"/>
    </xf>
    <xf numFmtId="0" fontId="13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10" fillId="2" borderId="1" applyNumberFormat="0" applyFont="1" applyFill="1" applyBorder="1" applyAlignment="1" applyProtection="0">
      <alignment vertical="center"/>
    </xf>
    <xf numFmtId="49" fontId="14" fillId="2" borderId="1" applyNumberFormat="1" applyFont="1" applyFill="1" applyBorder="1" applyAlignment="1" applyProtection="0">
      <alignment vertical="bottom"/>
    </xf>
    <xf numFmtId="0" fontId="14" fillId="2" borderId="1" applyNumberFormat="1" applyFont="1" applyFill="1" applyBorder="1" applyAlignment="1" applyProtection="0">
      <alignment vertical="bottom"/>
    </xf>
    <xf numFmtId="0" fontId="14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11" fontId="0" fillId="2" borderId="1" applyNumberFormat="1" applyFont="1" applyFill="1" applyBorder="1" applyAlignment="1" applyProtection="0">
      <alignment vertical="bottom"/>
    </xf>
    <xf numFmtId="49" fontId="15" fillId="2" borderId="1" applyNumberFormat="1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11" fillId="2" borderId="1" applyNumberFormat="1" applyFont="1" applyFill="1" applyBorder="1" applyAlignment="1" applyProtection="0">
      <alignment horizontal="justify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ccccc"/>
      <rgbColor rgb="ffffff00"/>
      <rgbColor rgb="ffbfbfbf"/>
      <rgbColor rgb="ffe7e6e6"/>
      <rgbColor rgb="ffff0000"/>
      <rgbColor rgb="ff0563c1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10</xdr:col>
      <xdr:colOff>241300</xdr:colOff>
      <xdr:row>15</xdr:row>
      <xdr:rowOff>141857</xdr:rowOff>
    </xdr:to>
    <xdr:pic>
      <xdr:nvPicPr>
        <xdr:cNvPr id="4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12800" y="203200"/>
          <a:ext cx="7670800" cy="298665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hemspider.com/Chemical-Structure.32820151.html" TargetMode="External"/><Relationship Id="rId2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K13"/>
  <sheetViews>
    <sheetView workbookViewId="0" showGridLines="0" defaultGridColor="1"/>
  </sheetViews>
  <sheetFormatPr defaultColWidth="10.6667" defaultRowHeight="16" customHeight="1" outlineLevelRow="0" outlineLevelCol="0"/>
  <cols>
    <col min="1" max="1" width="24.6719" style="1" customWidth="1"/>
    <col min="2" max="9" width="10.6719" style="1" customWidth="1"/>
    <col min="10" max="11" width="11.1719" style="1" customWidth="1"/>
    <col min="12" max="12" width="10.6719" style="1" customWidth="1"/>
    <col min="13" max="13" width="11.1719" style="1" customWidth="1"/>
    <col min="14" max="20" width="10.6719" style="1" customWidth="1"/>
    <col min="21" max="22" width="12.1719" style="1" customWidth="1"/>
    <col min="23" max="29" width="10.6719" style="1" customWidth="1"/>
    <col min="30" max="30" width="15.3516" style="1" customWidth="1"/>
    <col min="31" max="31" width="10.6719" style="1" customWidth="1"/>
    <col min="32" max="32" width="12.1719" style="1" customWidth="1"/>
    <col min="33" max="37" width="10.6719" style="1" customWidth="1"/>
    <col min="38" max="16384" width="10.6719" style="1" customWidth="1"/>
  </cols>
  <sheetData>
    <row r="1" ht="205.45" customHeight="1">
      <c r="A1" t="s" s="2">
        <v>0</v>
      </c>
      <c r="B1" s="3"/>
      <c r="C1" t="s" s="2">
        <v>1</v>
      </c>
      <c r="D1" s="3"/>
      <c r="E1" t="s" s="2">
        <v>2</v>
      </c>
      <c r="F1" t="s" s="2">
        <v>3</v>
      </c>
      <c r="G1" t="s" s="2">
        <v>4</v>
      </c>
      <c r="H1" t="s" s="2">
        <v>5</v>
      </c>
      <c r="I1" s="3"/>
      <c r="J1" s="3"/>
      <c r="K1" s="3"/>
      <c r="L1" t="s" s="2">
        <v>6</v>
      </c>
      <c r="M1" t="s" s="2">
        <v>7</v>
      </c>
      <c r="N1" t="s" s="2">
        <v>8</v>
      </c>
      <c r="O1" t="s" s="2">
        <v>9</v>
      </c>
      <c r="P1" s="3"/>
      <c r="Q1" s="3"/>
      <c r="R1" s="3"/>
      <c r="S1" t="s" s="2">
        <v>10</v>
      </c>
      <c r="T1" t="s" s="2">
        <v>11</v>
      </c>
      <c r="U1" s="3"/>
      <c r="V1" s="3"/>
      <c r="W1" t="s" s="2">
        <v>12</v>
      </c>
      <c r="X1" t="s" s="2">
        <v>13</v>
      </c>
      <c r="Y1" t="s" s="2">
        <v>14</v>
      </c>
      <c r="Z1" t="s" s="2">
        <v>15</v>
      </c>
      <c r="AA1" t="s" s="2">
        <v>16</v>
      </c>
      <c r="AB1" t="s" s="2">
        <v>17</v>
      </c>
      <c r="AC1" s="3"/>
      <c r="AD1" t="s" s="2">
        <v>18</v>
      </c>
      <c r="AE1" t="s" s="2">
        <v>19</v>
      </c>
      <c r="AF1" s="3"/>
      <c r="AG1" t="s" s="2">
        <v>20</v>
      </c>
      <c r="AH1" s="3"/>
      <c r="AI1" t="s" s="2">
        <v>21</v>
      </c>
      <c r="AJ1" s="2"/>
      <c r="AK1" s="2"/>
    </row>
    <row r="2" ht="73" customHeight="1">
      <c r="A2" t="s" s="2">
        <v>22</v>
      </c>
      <c r="B2" s="3"/>
      <c r="C2" t="s" s="2">
        <v>23</v>
      </c>
      <c r="D2" s="3"/>
      <c r="E2" t="s" s="2">
        <v>24</v>
      </c>
      <c r="F2" t="s" s="2">
        <v>25</v>
      </c>
      <c r="G2" t="s" s="2">
        <v>26</v>
      </c>
      <c r="H2" t="s" s="2">
        <v>27</v>
      </c>
      <c r="I2" t="s" s="2">
        <v>28</v>
      </c>
      <c r="J2" t="s" s="2">
        <v>29</v>
      </c>
      <c r="K2" t="s" s="2">
        <v>30</v>
      </c>
      <c r="L2" t="s" s="2">
        <v>26</v>
      </c>
      <c r="M2" t="s" s="2">
        <v>29</v>
      </c>
      <c r="N2" t="s" s="2">
        <v>31</v>
      </c>
      <c r="O2" t="s" s="2">
        <v>32</v>
      </c>
      <c r="P2" t="s" s="2">
        <v>33</v>
      </c>
      <c r="Q2" t="s" s="2">
        <v>33</v>
      </c>
      <c r="R2" t="s" s="2">
        <v>33</v>
      </c>
      <c r="S2" t="s" s="2">
        <v>24</v>
      </c>
      <c r="T2" t="s" s="2">
        <v>34</v>
      </c>
      <c r="U2" t="s" s="2">
        <v>35</v>
      </c>
      <c r="V2" t="s" s="2">
        <v>36</v>
      </c>
      <c r="W2" t="s" s="2">
        <v>37</v>
      </c>
      <c r="X2" t="s" s="2">
        <v>38</v>
      </c>
      <c r="Y2" t="s" s="2">
        <v>39</v>
      </c>
      <c r="Z2" t="s" s="2">
        <v>26</v>
      </c>
      <c r="AA2" t="s" s="2">
        <v>26</v>
      </c>
      <c r="AB2" t="s" s="2">
        <v>33</v>
      </c>
      <c r="AC2" t="s" s="2">
        <v>33</v>
      </c>
      <c r="AD2" t="s" s="2">
        <v>31</v>
      </c>
      <c r="AE2" t="s" s="2">
        <v>31</v>
      </c>
      <c r="AF2" t="s" s="2">
        <v>31</v>
      </c>
      <c r="AG2" t="s" s="2">
        <v>33</v>
      </c>
      <c r="AH2" t="s" s="2">
        <v>33</v>
      </c>
      <c r="AI2" t="s" s="2">
        <v>31</v>
      </c>
      <c r="AJ2" s="2"/>
      <c r="AK2" s="2"/>
    </row>
    <row r="3" ht="73" customHeight="1">
      <c r="A3" t="s" s="2">
        <v>40</v>
      </c>
      <c r="B3" t="s" s="2">
        <v>41</v>
      </c>
      <c r="C3" t="s" s="2">
        <v>42</v>
      </c>
      <c r="D3" t="s" s="4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49</v>
      </c>
      <c r="K3" t="s" s="2">
        <v>50</v>
      </c>
      <c r="L3" t="s" s="2">
        <v>51</v>
      </c>
      <c r="M3" t="s" s="2">
        <v>52</v>
      </c>
      <c r="N3" t="s" s="2">
        <v>53</v>
      </c>
      <c r="O3" t="s" s="2">
        <v>54</v>
      </c>
      <c r="P3" t="s" s="2">
        <v>55</v>
      </c>
      <c r="Q3" t="s" s="2">
        <v>56</v>
      </c>
      <c r="R3" t="s" s="2">
        <v>57</v>
      </c>
      <c r="S3" t="s" s="2">
        <v>58</v>
      </c>
      <c r="T3" t="s" s="2">
        <v>59</v>
      </c>
      <c r="U3" t="s" s="2">
        <v>60</v>
      </c>
      <c r="V3" t="s" s="2">
        <v>61</v>
      </c>
      <c r="W3" t="s" s="2">
        <v>62</v>
      </c>
      <c r="X3" t="s" s="2">
        <v>63</v>
      </c>
      <c r="Y3" t="s" s="2">
        <v>64</v>
      </c>
      <c r="Z3" t="s" s="2">
        <v>65</v>
      </c>
      <c r="AA3" t="s" s="2">
        <v>66</v>
      </c>
      <c r="AB3" t="s" s="2">
        <v>67</v>
      </c>
      <c r="AC3" t="s" s="2">
        <v>68</v>
      </c>
      <c r="AD3" t="s" s="2">
        <v>69</v>
      </c>
      <c r="AE3" t="s" s="2">
        <v>70</v>
      </c>
      <c r="AF3" t="s" s="2">
        <v>71</v>
      </c>
      <c r="AG3" t="s" s="2">
        <v>72</v>
      </c>
      <c r="AH3" t="s" s="2">
        <v>73</v>
      </c>
      <c r="AI3" t="s" s="2">
        <v>74</v>
      </c>
      <c r="AJ3" s="2"/>
      <c r="AK3" s="2"/>
    </row>
    <row r="4" ht="17" customHeight="1">
      <c r="A4" t="s" s="5">
        <v>75</v>
      </c>
      <c r="B4" s="6">
        <v>1</v>
      </c>
      <c r="C4" s="6">
        <v>1</v>
      </c>
      <c r="D4" s="7"/>
      <c r="E4" s="6">
        <v>0</v>
      </c>
      <c r="F4" s="6">
        <f t="shared" si="0" ref="F4:F13">AVERAGE(1402,1437)</f>
        <v>1419.5</v>
      </c>
      <c r="G4" s="6">
        <v>0.08</v>
      </c>
      <c r="H4" s="8">
        <f t="shared" si="1" ref="H4:H13">203.5/1000</f>
        <v>0.2035</v>
      </c>
      <c r="I4" s="8">
        <f>H4/F4*1000</f>
        <v>0.143360338147235</v>
      </c>
      <c r="J4" s="8">
        <f>I4*7.5</f>
        <v>1.07520253610426</v>
      </c>
      <c r="K4" s="9">
        <f>J4/1000</f>
        <v>0.00107520253610426</v>
      </c>
      <c r="L4" s="6">
        <v>10</v>
      </c>
      <c r="M4" s="8">
        <f>L4*J4</f>
        <v>10.7520253610426</v>
      </c>
      <c r="N4" s="6">
        <v>0.0001</v>
      </c>
      <c r="O4" s="6">
        <v>10</v>
      </c>
      <c r="P4" s="6">
        <v>1</v>
      </c>
      <c r="Q4" s="6">
        <v>0</v>
      </c>
      <c r="R4" t="s" s="5">
        <v>76</v>
      </c>
      <c r="S4" s="6">
        <v>30</v>
      </c>
      <c r="T4" s="8">
        <f t="shared" si="6" ref="T4:T11">10.6/12*1.07/2</f>
        <v>0.472583333333333</v>
      </c>
      <c r="U4" s="10">
        <f t="shared" si="7" ref="U4:U13">4.3/1000000*1.07</f>
        <v>4.601e-06</v>
      </c>
      <c r="V4" s="11">
        <f t="shared" si="8" ref="V4:V13">0.00000058</f>
        <v>5.8e-07</v>
      </c>
      <c r="W4" s="6">
        <v>0.43</v>
      </c>
      <c r="X4" s="6">
        <f>W4*24</f>
        <v>10.32</v>
      </c>
      <c r="Y4" s="6">
        <v>0.06</v>
      </c>
      <c r="Z4" s="6">
        <v>1</v>
      </c>
      <c r="AA4" s="6">
        <v>0.0001</v>
      </c>
      <c r="AB4" s="12">
        <v>1</v>
      </c>
      <c r="AC4" s="6">
        <v>0</v>
      </c>
      <c r="AD4" s="8">
        <v>0.35</v>
      </c>
      <c r="AE4" s="6">
        <f t="shared" si="10" ref="AE4:AF13">0.0001</f>
        <v>0.0001</v>
      </c>
      <c r="AF4" s="6">
        <f t="shared" si="10"/>
        <v>0.0001</v>
      </c>
      <c r="AG4" s="6">
        <v>1</v>
      </c>
      <c r="AH4" t="s" s="5">
        <v>76</v>
      </c>
      <c r="AI4" s="9">
        <v>0.09375</v>
      </c>
      <c r="AJ4" s="7"/>
      <c r="AK4" s="7"/>
    </row>
    <row r="5" ht="17" customHeight="1">
      <c r="A5" t="s" s="5">
        <v>77</v>
      </c>
      <c r="B5" s="6">
        <v>2</v>
      </c>
      <c r="C5" s="6">
        <v>1</v>
      </c>
      <c r="D5" s="7"/>
      <c r="E5" s="12">
        <v>0</v>
      </c>
      <c r="F5" s="6">
        <f t="shared" si="0"/>
        <v>1419.5</v>
      </c>
      <c r="G5" s="6">
        <v>0.08</v>
      </c>
      <c r="H5" s="8">
        <f t="shared" si="1"/>
        <v>0.2035</v>
      </c>
      <c r="I5" s="8">
        <f>H5/F5*1000</f>
        <v>0.143360338147235</v>
      </c>
      <c r="J5" s="8">
        <f>I5*7.5</f>
        <v>1.07520253610426</v>
      </c>
      <c r="K5" s="9">
        <f>J5/1000</f>
        <v>0.00107520253610426</v>
      </c>
      <c r="L5" s="6">
        <v>10</v>
      </c>
      <c r="M5" s="8">
        <f>L5*J5</f>
        <v>10.7520253610426</v>
      </c>
      <c r="N5" s="6">
        <v>0.0001</v>
      </c>
      <c r="O5" s="6">
        <v>10</v>
      </c>
      <c r="P5" s="6">
        <v>1</v>
      </c>
      <c r="Q5" s="6">
        <v>0</v>
      </c>
      <c r="R5" t="s" s="5">
        <v>76</v>
      </c>
      <c r="S5" s="6">
        <v>30</v>
      </c>
      <c r="T5" s="8">
        <f t="shared" si="6"/>
        <v>0.472583333333333</v>
      </c>
      <c r="U5" s="10">
        <f t="shared" si="7"/>
        <v>4.601e-06</v>
      </c>
      <c r="V5" s="11">
        <f t="shared" si="8"/>
        <v>5.8e-07</v>
      </c>
      <c r="W5" s="6">
        <v>0.43</v>
      </c>
      <c r="X5" s="6">
        <f>W5*24</f>
        <v>10.32</v>
      </c>
      <c r="Y5" s="6">
        <v>0.06</v>
      </c>
      <c r="Z5" s="6">
        <v>1</v>
      </c>
      <c r="AA5" s="13">
        <v>0.0001</v>
      </c>
      <c r="AB5" s="14">
        <v>0</v>
      </c>
      <c r="AC5" s="15">
        <v>0</v>
      </c>
      <c r="AD5" s="8">
        <v>0.35</v>
      </c>
      <c r="AE5" s="6">
        <f t="shared" si="10"/>
        <v>0.0001</v>
      </c>
      <c r="AF5" s="6">
        <f t="shared" si="10"/>
        <v>0.0001</v>
      </c>
      <c r="AG5" s="6">
        <v>1</v>
      </c>
      <c r="AH5" t="s" s="5">
        <v>76</v>
      </c>
      <c r="AI5" s="9">
        <v>0.09375</v>
      </c>
      <c r="AJ5" s="7"/>
      <c r="AK5" s="7"/>
    </row>
    <row r="6" ht="17" customHeight="1">
      <c r="A6" t="s" s="5">
        <v>78</v>
      </c>
      <c r="B6" s="6">
        <v>3</v>
      </c>
      <c r="C6" s="6">
        <v>1</v>
      </c>
      <c r="D6" s="16"/>
      <c r="E6" s="14">
        <v>1.5</v>
      </c>
      <c r="F6" s="15">
        <f t="shared" si="0"/>
        <v>1419.5</v>
      </c>
      <c r="G6" s="6">
        <v>0.08</v>
      </c>
      <c r="H6" s="8">
        <f t="shared" si="1"/>
        <v>0.2035</v>
      </c>
      <c r="I6" s="8">
        <f>H6/F6*1000</f>
        <v>0.143360338147235</v>
      </c>
      <c r="J6" s="8">
        <f>I6*7.5</f>
        <v>1.07520253610426</v>
      </c>
      <c r="K6" s="9">
        <f>J6/1000</f>
        <v>0.00107520253610426</v>
      </c>
      <c r="L6" s="6">
        <v>10</v>
      </c>
      <c r="M6" s="8">
        <f>L6*J6</f>
        <v>10.7520253610426</v>
      </c>
      <c r="N6" s="6">
        <v>0.0001</v>
      </c>
      <c r="O6" s="6">
        <v>10</v>
      </c>
      <c r="P6" s="6">
        <v>1</v>
      </c>
      <c r="Q6" s="6">
        <v>0</v>
      </c>
      <c r="R6" t="s" s="5">
        <v>76</v>
      </c>
      <c r="S6" s="6">
        <v>30</v>
      </c>
      <c r="T6" s="8">
        <f t="shared" si="6"/>
        <v>0.472583333333333</v>
      </c>
      <c r="U6" s="10">
        <f t="shared" si="7"/>
        <v>4.601e-06</v>
      </c>
      <c r="V6" s="11">
        <f t="shared" si="8"/>
        <v>5.8e-07</v>
      </c>
      <c r="W6" s="6">
        <v>0.43</v>
      </c>
      <c r="X6" s="6">
        <f>W6*24</f>
        <v>10.32</v>
      </c>
      <c r="Y6" s="6">
        <v>0.06</v>
      </c>
      <c r="Z6" s="6">
        <v>1</v>
      </c>
      <c r="AA6" s="6">
        <v>0.0001</v>
      </c>
      <c r="AB6" s="17">
        <v>1</v>
      </c>
      <c r="AC6" s="6">
        <v>0</v>
      </c>
      <c r="AD6" s="8">
        <v>0.35</v>
      </c>
      <c r="AE6" s="6">
        <f t="shared" si="10"/>
        <v>0.0001</v>
      </c>
      <c r="AF6" s="6">
        <f t="shared" si="10"/>
        <v>0.0001</v>
      </c>
      <c r="AG6" s="6">
        <v>1</v>
      </c>
      <c r="AH6" t="s" s="5">
        <v>76</v>
      </c>
      <c r="AI6" s="9">
        <v>0.09375</v>
      </c>
      <c r="AJ6" s="7"/>
      <c r="AK6" s="7"/>
    </row>
    <row r="7" ht="17" customHeight="1">
      <c r="A7" t="s" s="5">
        <v>79</v>
      </c>
      <c r="B7" s="6">
        <v>4</v>
      </c>
      <c r="C7" s="6">
        <v>1</v>
      </c>
      <c r="D7" s="16"/>
      <c r="E7" s="14">
        <v>1.5</v>
      </c>
      <c r="F7" s="15">
        <f t="shared" si="0"/>
        <v>1419.5</v>
      </c>
      <c r="G7" s="6">
        <v>0.08</v>
      </c>
      <c r="H7" s="8">
        <f t="shared" si="1"/>
        <v>0.2035</v>
      </c>
      <c r="I7" s="8">
        <f>H7/F7*1000</f>
        <v>0.143360338147235</v>
      </c>
      <c r="J7" s="8">
        <f>I7*7.5</f>
        <v>1.07520253610426</v>
      </c>
      <c r="K7" s="9">
        <f>J7/1000</f>
        <v>0.00107520253610426</v>
      </c>
      <c r="L7" s="6">
        <v>10</v>
      </c>
      <c r="M7" s="8">
        <f>L7*J7</f>
        <v>10.7520253610426</v>
      </c>
      <c r="N7" s="6">
        <v>0.0001</v>
      </c>
      <c r="O7" s="6">
        <v>10</v>
      </c>
      <c r="P7" s="6">
        <v>1</v>
      </c>
      <c r="Q7" s="6">
        <v>0</v>
      </c>
      <c r="R7" t="s" s="5">
        <v>76</v>
      </c>
      <c r="S7" s="6">
        <v>30</v>
      </c>
      <c r="T7" s="8">
        <f t="shared" si="6"/>
        <v>0.472583333333333</v>
      </c>
      <c r="U7" s="10">
        <f t="shared" si="7"/>
        <v>4.601e-06</v>
      </c>
      <c r="V7" s="11">
        <f t="shared" si="8"/>
        <v>5.8e-07</v>
      </c>
      <c r="W7" s="6">
        <v>0.43</v>
      </c>
      <c r="X7" s="6">
        <f>W7*24</f>
        <v>10.32</v>
      </c>
      <c r="Y7" s="6">
        <v>0.06</v>
      </c>
      <c r="Z7" s="6">
        <v>1</v>
      </c>
      <c r="AA7" s="13">
        <v>0.0001</v>
      </c>
      <c r="AB7" s="14">
        <v>0</v>
      </c>
      <c r="AC7" s="15">
        <v>0</v>
      </c>
      <c r="AD7" s="8">
        <v>0.35</v>
      </c>
      <c r="AE7" s="6">
        <f t="shared" si="10"/>
        <v>0.0001</v>
      </c>
      <c r="AF7" s="6">
        <f t="shared" si="10"/>
        <v>0.0001</v>
      </c>
      <c r="AG7" s="6">
        <v>1</v>
      </c>
      <c r="AH7" t="s" s="5">
        <v>76</v>
      </c>
      <c r="AI7" s="9">
        <v>0.09375</v>
      </c>
      <c r="AJ7" s="7"/>
      <c r="AK7" s="7"/>
    </row>
    <row r="8" ht="17" customHeight="1">
      <c r="A8" t="s" s="5">
        <v>80</v>
      </c>
      <c r="B8" s="6">
        <v>5</v>
      </c>
      <c r="C8" s="6">
        <v>1</v>
      </c>
      <c r="D8" s="16"/>
      <c r="E8" s="14">
        <v>3</v>
      </c>
      <c r="F8" s="15">
        <f t="shared" si="0"/>
        <v>1419.5</v>
      </c>
      <c r="G8" s="6">
        <v>0.08</v>
      </c>
      <c r="H8" s="8">
        <f t="shared" si="1"/>
        <v>0.2035</v>
      </c>
      <c r="I8" s="8">
        <f>H8/F8*1000</f>
        <v>0.143360338147235</v>
      </c>
      <c r="J8" s="8">
        <f>I8*7.5</f>
        <v>1.07520253610426</v>
      </c>
      <c r="K8" s="9">
        <f>J8/1000</f>
        <v>0.00107520253610426</v>
      </c>
      <c r="L8" s="6">
        <v>10</v>
      </c>
      <c r="M8" s="8">
        <f>L8*J8</f>
        <v>10.7520253610426</v>
      </c>
      <c r="N8" s="6">
        <v>0.0001</v>
      </c>
      <c r="O8" s="6">
        <v>10</v>
      </c>
      <c r="P8" s="6">
        <v>1</v>
      </c>
      <c r="Q8" s="6">
        <v>0</v>
      </c>
      <c r="R8" t="s" s="5">
        <v>76</v>
      </c>
      <c r="S8" s="6">
        <v>30</v>
      </c>
      <c r="T8" s="8">
        <f t="shared" si="6"/>
        <v>0.472583333333333</v>
      </c>
      <c r="U8" s="10">
        <f t="shared" si="7"/>
        <v>4.601e-06</v>
      </c>
      <c r="V8" s="11">
        <f t="shared" si="8"/>
        <v>5.8e-07</v>
      </c>
      <c r="W8" s="6">
        <v>0.43</v>
      </c>
      <c r="X8" s="6">
        <f>W8*24</f>
        <v>10.32</v>
      </c>
      <c r="Y8" s="6">
        <v>0.06</v>
      </c>
      <c r="Z8" s="6">
        <v>1</v>
      </c>
      <c r="AA8" s="6">
        <v>0.0001</v>
      </c>
      <c r="AB8" s="17">
        <v>1</v>
      </c>
      <c r="AC8" s="6">
        <v>0</v>
      </c>
      <c r="AD8" s="8">
        <v>0.35</v>
      </c>
      <c r="AE8" s="6">
        <f t="shared" si="10"/>
        <v>0.0001</v>
      </c>
      <c r="AF8" s="6">
        <f t="shared" si="10"/>
        <v>0.0001</v>
      </c>
      <c r="AG8" s="6">
        <v>1</v>
      </c>
      <c r="AH8" t="s" s="5">
        <v>76</v>
      </c>
      <c r="AI8" s="9">
        <v>0.09375</v>
      </c>
      <c r="AJ8" s="7"/>
      <c r="AK8" s="7"/>
    </row>
    <row r="9" ht="17" customHeight="1">
      <c r="A9" t="s" s="5">
        <v>79</v>
      </c>
      <c r="B9" s="6">
        <v>6</v>
      </c>
      <c r="C9" s="6">
        <v>1</v>
      </c>
      <c r="D9" s="16"/>
      <c r="E9" s="14">
        <v>3</v>
      </c>
      <c r="F9" s="15">
        <f t="shared" si="0"/>
        <v>1419.5</v>
      </c>
      <c r="G9" s="6">
        <v>0.08</v>
      </c>
      <c r="H9" s="8">
        <f t="shared" si="1"/>
        <v>0.2035</v>
      </c>
      <c r="I9" s="8">
        <f>H9/F9*1000</f>
        <v>0.143360338147235</v>
      </c>
      <c r="J9" s="8">
        <f>I9*7.5</f>
        <v>1.07520253610426</v>
      </c>
      <c r="K9" s="9">
        <f>J9/1000</f>
        <v>0.00107520253610426</v>
      </c>
      <c r="L9" s="6">
        <v>10</v>
      </c>
      <c r="M9" s="8">
        <f>L9*J9</f>
        <v>10.7520253610426</v>
      </c>
      <c r="N9" s="12">
        <v>0.0001</v>
      </c>
      <c r="O9" s="6">
        <v>10</v>
      </c>
      <c r="P9" s="6">
        <v>1</v>
      </c>
      <c r="Q9" s="6">
        <v>0</v>
      </c>
      <c r="R9" t="s" s="5">
        <v>76</v>
      </c>
      <c r="S9" s="6">
        <v>30</v>
      </c>
      <c r="T9" s="8">
        <f t="shared" si="6"/>
        <v>0.472583333333333</v>
      </c>
      <c r="U9" s="10">
        <f t="shared" si="7"/>
        <v>4.601e-06</v>
      </c>
      <c r="V9" s="11">
        <f t="shared" si="8"/>
        <v>5.8e-07</v>
      </c>
      <c r="W9" s="6">
        <v>0.43</v>
      </c>
      <c r="X9" s="6">
        <f>W9*24</f>
        <v>10.32</v>
      </c>
      <c r="Y9" s="6">
        <v>0.06</v>
      </c>
      <c r="Z9" s="6">
        <v>1</v>
      </c>
      <c r="AA9" s="13">
        <v>0.0001</v>
      </c>
      <c r="AB9" s="14">
        <v>0</v>
      </c>
      <c r="AC9" s="15">
        <v>0</v>
      </c>
      <c r="AD9" s="8">
        <v>0.35</v>
      </c>
      <c r="AE9" s="6">
        <f t="shared" si="10"/>
        <v>0.0001</v>
      </c>
      <c r="AF9" s="6">
        <f t="shared" si="10"/>
        <v>0.0001</v>
      </c>
      <c r="AG9" s="6">
        <v>1</v>
      </c>
      <c r="AH9" t="s" s="5">
        <v>76</v>
      </c>
      <c r="AI9" s="9">
        <v>0.09375</v>
      </c>
      <c r="AJ9" s="7"/>
      <c r="AK9" s="7"/>
    </row>
    <row r="10" ht="17" customHeight="1">
      <c r="A10" t="s" s="5">
        <v>81</v>
      </c>
      <c r="B10" s="6">
        <v>7</v>
      </c>
      <c r="C10" s="6">
        <v>1</v>
      </c>
      <c r="D10" s="7"/>
      <c r="E10" s="18">
        <v>0</v>
      </c>
      <c r="F10" s="6">
        <f t="shared" si="0"/>
        <v>1419.5</v>
      </c>
      <c r="G10" s="6">
        <v>0.08</v>
      </c>
      <c r="H10" s="8">
        <f t="shared" si="1"/>
        <v>0.2035</v>
      </c>
      <c r="I10" s="8">
        <f>H10/F10*1000</f>
        <v>0.143360338147235</v>
      </c>
      <c r="J10" s="8">
        <f>I10*7.5</f>
        <v>1.07520253610426</v>
      </c>
      <c r="K10" s="9">
        <f>J10/1000</f>
        <v>0.00107520253610426</v>
      </c>
      <c r="L10" s="6">
        <v>10</v>
      </c>
      <c r="M10" s="13">
        <f>L10*J10</f>
        <v>10.7520253610426</v>
      </c>
      <c r="N10" s="14">
        <v>1e-06</v>
      </c>
      <c r="O10" s="15">
        <v>10</v>
      </c>
      <c r="P10" s="6">
        <v>1</v>
      </c>
      <c r="Q10" s="6">
        <v>0</v>
      </c>
      <c r="R10" t="s" s="5">
        <v>76</v>
      </c>
      <c r="S10" s="6">
        <v>30</v>
      </c>
      <c r="T10" s="8">
        <f t="shared" si="6"/>
        <v>0.472583333333333</v>
      </c>
      <c r="U10" s="10">
        <f t="shared" si="7"/>
        <v>4.601e-06</v>
      </c>
      <c r="V10" s="11">
        <f t="shared" si="8"/>
        <v>5.8e-07</v>
      </c>
      <c r="W10" s="6">
        <v>0.43</v>
      </c>
      <c r="X10" s="6">
        <f>W10*24</f>
        <v>10.32</v>
      </c>
      <c r="Y10" s="6">
        <v>0.06</v>
      </c>
      <c r="Z10" s="6">
        <v>1</v>
      </c>
      <c r="AA10" s="6">
        <v>0.0001</v>
      </c>
      <c r="AB10" s="18">
        <v>1</v>
      </c>
      <c r="AC10" s="6">
        <v>0</v>
      </c>
      <c r="AD10" s="8">
        <v>0.35</v>
      </c>
      <c r="AE10" s="6">
        <f t="shared" si="10"/>
        <v>0.0001</v>
      </c>
      <c r="AF10" s="6">
        <f t="shared" si="10"/>
        <v>0.0001</v>
      </c>
      <c r="AG10" s="6">
        <v>1</v>
      </c>
      <c r="AH10" t="s" s="5">
        <v>76</v>
      </c>
      <c r="AI10" s="9">
        <v>0.09375</v>
      </c>
      <c r="AJ10" s="7"/>
      <c r="AK10" s="7"/>
    </row>
    <row r="11" ht="17" customHeight="1">
      <c r="A11" t="s" s="5">
        <v>82</v>
      </c>
      <c r="B11" s="6">
        <v>8</v>
      </c>
      <c r="C11" s="6">
        <v>1</v>
      </c>
      <c r="D11" s="7"/>
      <c r="E11" s="6">
        <v>0</v>
      </c>
      <c r="F11" s="6">
        <f t="shared" si="0"/>
        <v>1419.5</v>
      </c>
      <c r="G11" s="6">
        <v>0.08</v>
      </c>
      <c r="H11" s="8">
        <f t="shared" si="1"/>
        <v>0.2035</v>
      </c>
      <c r="I11" s="8">
        <f>H11/F11*1000</f>
        <v>0.143360338147235</v>
      </c>
      <c r="J11" s="8">
        <f>I11*7.5</f>
        <v>1.07520253610426</v>
      </c>
      <c r="K11" s="9">
        <f>J11/1000</f>
        <v>0.00107520253610426</v>
      </c>
      <c r="L11" s="6">
        <v>10</v>
      </c>
      <c r="M11" s="13">
        <f>L11*J11</f>
        <v>10.7520253610426</v>
      </c>
      <c r="N11" s="14">
        <v>1</v>
      </c>
      <c r="O11" s="15">
        <v>10</v>
      </c>
      <c r="P11" s="6">
        <v>1</v>
      </c>
      <c r="Q11" s="6">
        <v>0</v>
      </c>
      <c r="R11" t="s" s="5">
        <v>76</v>
      </c>
      <c r="S11" s="6">
        <v>30</v>
      </c>
      <c r="T11" s="19">
        <f t="shared" si="6"/>
        <v>0.472583333333333</v>
      </c>
      <c r="U11" s="10">
        <f t="shared" si="7"/>
        <v>4.601e-06</v>
      </c>
      <c r="V11" s="11">
        <f t="shared" si="8"/>
        <v>5.8e-07</v>
      </c>
      <c r="W11" s="6">
        <v>0.43</v>
      </c>
      <c r="X11" s="6">
        <f>W11*24</f>
        <v>10.32</v>
      </c>
      <c r="Y11" s="6">
        <v>0.06</v>
      </c>
      <c r="Z11" s="6">
        <v>1</v>
      </c>
      <c r="AA11" s="6">
        <v>0.0001</v>
      </c>
      <c r="AB11" s="6">
        <v>1</v>
      </c>
      <c r="AC11" s="6">
        <v>0</v>
      </c>
      <c r="AD11" s="8">
        <v>0.35</v>
      </c>
      <c r="AE11" s="6">
        <f t="shared" si="10"/>
        <v>0.0001</v>
      </c>
      <c r="AF11" s="6">
        <f t="shared" si="10"/>
        <v>0.0001</v>
      </c>
      <c r="AG11" s="6">
        <v>1</v>
      </c>
      <c r="AH11" t="s" s="5">
        <v>76</v>
      </c>
      <c r="AI11" s="9">
        <v>0.09375</v>
      </c>
      <c r="AJ11" s="7"/>
      <c r="AK11" s="7"/>
    </row>
    <row r="12" ht="17" customHeight="1">
      <c r="A12" t="s" s="5">
        <v>83</v>
      </c>
      <c r="B12" s="6">
        <v>9</v>
      </c>
      <c r="C12" s="6">
        <v>1</v>
      </c>
      <c r="D12" s="7"/>
      <c r="E12" s="6">
        <v>0</v>
      </c>
      <c r="F12" s="6">
        <f t="shared" si="0"/>
        <v>1419.5</v>
      </c>
      <c r="G12" s="6">
        <v>0.08</v>
      </c>
      <c r="H12" s="8">
        <f t="shared" si="1"/>
        <v>0.2035</v>
      </c>
      <c r="I12" s="8">
        <f>H12/F12*1000</f>
        <v>0.143360338147235</v>
      </c>
      <c r="J12" s="8">
        <f>I12*7.5</f>
        <v>1.07520253610426</v>
      </c>
      <c r="K12" s="9">
        <f>J12/1000</f>
        <v>0.00107520253610426</v>
      </c>
      <c r="L12" s="6">
        <v>10</v>
      </c>
      <c r="M12" s="8">
        <f>L12*J12</f>
        <v>10.7520253610426</v>
      </c>
      <c r="N12" s="18">
        <v>0.0001</v>
      </c>
      <c r="O12" s="6">
        <v>10</v>
      </c>
      <c r="P12" s="6">
        <v>1</v>
      </c>
      <c r="Q12" s="6">
        <v>0</v>
      </c>
      <c r="R12" t="s" s="5">
        <v>76</v>
      </c>
      <c r="S12" s="13">
        <v>30</v>
      </c>
      <c r="T12" s="14">
        <v>0.001</v>
      </c>
      <c r="U12" s="20">
        <f t="shared" si="7"/>
        <v>4.601e-06</v>
      </c>
      <c r="V12" s="11">
        <f t="shared" si="8"/>
        <v>5.8e-07</v>
      </c>
      <c r="W12" s="6">
        <v>0.43</v>
      </c>
      <c r="X12" s="6">
        <f>W12*24</f>
        <v>10.32</v>
      </c>
      <c r="Y12" s="6">
        <v>0.06</v>
      </c>
      <c r="Z12" s="6">
        <v>1</v>
      </c>
      <c r="AA12" s="6">
        <v>0.0001</v>
      </c>
      <c r="AB12" s="6">
        <v>1</v>
      </c>
      <c r="AC12" s="6">
        <v>0</v>
      </c>
      <c r="AD12" s="8">
        <v>0.35</v>
      </c>
      <c r="AE12" s="6">
        <f t="shared" si="10"/>
        <v>0.0001</v>
      </c>
      <c r="AF12" s="6">
        <f t="shared" si="10"/>
        <v>0.0001</v>
      </c>
      <c r="AG12" s="6">
        <v>1</v>
      </c>
      <c r="AH12" t="s" s="5">
        <v>76</v>
      </c>
      <c r="AI12" s="9">
        <v>0.09375</v>
      </c>
      <c r="AJ12" s="7"/>
      <c r="AK12" s="7"/>
    </row>
    <row r="13" ht="17" customHeight="1">
      <c r="A13" t="s" s="5">
        <v>84</v>
      </c>
      <c r="B13" s="6">
        <v>10</v>
      </c>
      <c r="C13" s="6">
        <v>1</v>
      </c>
      <c r="D13" s="7"/>
      <c r="E13" s="6">
        <v>0</v>
      </c>
      <c r="F13" s="6">
        <f t="shared" si="0"/>
        <v>1419.5</v>
      </c>
      <c r="G13" s="6">
        <v>0.08</v>
      </c>
      <c r="H13" s="8">
        <f t="shared" si="1"/>
        <v>0.2035</v>
      </c>
      <c r="I13" s="8">
        <f>H13/F13*1000</f>
        <v>0.143360338147235</v>
      </c>
      <c r="J13" s="8">
        <f>I13*7.5</f>
        <v>1.07520253610426</v>
      </c>
      <c r="K13" s="9">
        <f>J13/1000</f>
        <v>0.00107520253610426</v>
      </c>
      <c r="L13" s="6">
        <v>10</v>
      </c>
      <c r="M13" s="8">
        <f>L13*J13</f>
        <v>10.7520253610426</v>
      </c>
      <c r="N13" s="6">
        <v>0.0001</v>
      </c>
      <c r="O13" s="6">
        <v>10</v>
      </c>
      <c r="P13" s="6">
        <v>1</v>
      </c>
      <c r="Q13" s="6">
        <v>0</v>
      </c>
      <c r="R13" t="s" s="5">
        <v>76</v>
      </c>
      <c r="S13" s="13">
        <v>30</v>
      </c>
      <c r="T13" s="21">
        <v>0.8</v>
      </c>
      <c r="U13" s="20">
        <f t="shared" si="7"/>
        <v>4.601e-06</v>
      </c>
      <c r="V13" s="11">
        <f t="shared" si="8"/>
        <v>5.8e-07</v>
      </c>
      <c r="W13" s="6">
        <v>0.43</v>
      </c>
      <c r="X13" s="6">
        <f>W13*24</f>
        <v>10.32</v>
      </c>
      <c r="Y13" s="6">
        <v>0.06</v>
      </c>
      <c r="Z13" s="6">
        <v>1</v>
      </c>
      <c r="AA13" s="6">
        <v>0.0001</v>
      </c>
      <c r="AB13" s="6">
        <v>1</v>
      </c>
      <c r="AC13" s="6">
        <v>0</v>
      </c>
      <c r="AD13" s="8">
        <v>0.35</v>
      </c>
      <c r="AE13" s="6">
        <f t="shared" si="10"/>
        <v>0.0001</v>
      </c>
      <c r="AF13" s="6">
        <f t="shared" si="10"/>
        <v>0.0001</v>
      </c>
      <c r="AG13" s="6">
        <v>1</v>
      </c>
      <c r="AH13" t="s" s="5">
        <v>76</v>
      </c>
      <c r="AI13" s="9">
        <v>0.09375</v>
      </c>
      <c r="AJ13" s="7"/>
      <c r="AK13" s="7"/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U139"/>
  <sheetViews>
    <sheetView workbookViewId="0" showGridLines="0" defaultGridColor="1"/>
  </sheetViews>
  <sheetFormatPr defaultColWidth="10.6667" defaultRowHeight="16" customHeight="1" outlineLevelRow="0" outlineLevelCol="0"/>
  <cols>
    <col min="1" max="3" width="10.6719" style="22" customWidth="1"/>
    <col min="4" max="4" width="12.1719" style="22" customWidth="1"/>
    <col min="5" max="10" width="10.6719" style="22" customWidth="1"/>
    <col min="11" max="12" width="12.1719" style="22" customWidth="1"/>
    <col min="13" max="21" width="10.6719" style="22" customWidth="1"/>
    <col min="22" max="16384" width="10.6719" style="22" customWidth="1"/>
  </cols>
  <sheetData>
    <row r="1" ht="16" customHeight="1">
      <c r="A1" s="7"/>
      <c r="B1" t="s" s="5">
        <v>85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ht="16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t="16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ht="16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ht="16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ht="16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ht="16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ht="16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ht="16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6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24"/>
      <c r="Q10" s="7"/>
      <c r="R10" s="7"/>
      <c r="S10" s="7"/>
      <c r="T10" s="7"/>
      <c r="U10" s="7"/>
    </row>
    <row r="11" ht="16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6"/>
      <c r="P11" s="25"/>
      <c r="Q11" s="26"/>
      <c r="R11" s="7"/>
      <c r="S11" s="7"/>
      <c r="T11" s="7"/>
      <c r="U11" s="7"/>
    </row>
    <row r="12" ht="16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27"/>
      <c r="Q12" s="7"/>
      <c r="R12" s="7"/>
      <c r="S12" s="7"/>
      <c r="T12" s="7"/>
      <c r="U12" s="7"/>
    </row>
    <row r="13" ht="16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28"/>
      <c r="P13" s="7"/>
      <c r="Q13" s="7"/>
      <c r="R13" s="7"/>
      <c r="S13" s="7"/>
      <c r="T13" s="7"/>
      <c r="U13" s="7"/>
    </row>
    <row r="14" ht="16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t="16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ht="16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t="s" s="29">
        <v>86</v>
      </c>
      <c r="M16" s="7"/>
      <c r="N16" s="7"/>
      <c r="O16" s="7"/>
      <c r="P16" s="7"/>
      <c r="Q16" s="7"/>
      <c r="R16" s="7"/>
      <c r="S16" s="7"/>
      <c r="T16" s="7"/>
      <c r="U16" s="7"/>
    </row>
    <row r="17" ht="16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t="s" s="30">
        <v>87</v>
      </c>
      <c r="M17" s="7"/>
      <c r="N17" t="s" s="5">
        <v>88</v>
      </c>
      <c r="O17" t="s" s="5">
        <v>89</v>
      </c>
      <c r="P17" t="s" s="5">
        <v>90</v>
      </c>
      <c r="Q17" t="s" s="5">
        <v>91</v>
      </c>
      <c r="R17" t="s" s="5">
        <v>92</v>
      </c>
      <c r="S17" s="7"/>
      <c r="T17" t="s" s="5">
        <v>93</v>
      </c>
      <c r="U17" s="7"/>
    </row>
    <row r="18" ht="16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t="s" s="5">
        <v>94</v>
      </c>
      <c r="M18" s="7"/>
      <c r="N18" t="s" s="5">
        <v>95</v>
      </c>
      <c r="O18" s="6">
        <v>9</v>
      </c>
      <c r="P18" s="6">
        <v>9</v>
      </c>
      <c r="Q18" s="6">
        <v>6</v>
      </c>
      <c r="R18" s="6">
        <v>1</v>
      </c>
      <c r="S18" s="7"/>
      <c r="T18" s="6">
        <f>O18+P18/4-Q18/2-3/4*R18</f>
        <v>7.5</v>
      </c>
      <c r="U18" s="7"/>
    </row>
    <row r="19" ht="16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t="s" s="5">
        <v>96</v>
      </c>
      <c r="M19" s="7"/>
      <c r="N19" s="7"/>
      <c r="O19" s="7"/>
      <c r="P19" s="7"/>
      <c r="Q19" s="7"/>
      <c r="R19" s="7"/>
      <c r="S19" s="7"/>
      <c r="T19" s="7"/>
      <c r="U19" s="7"/>
    </row>
    <row r="20" ht="16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t="s" s="5">
        <v>97</v>
      </c>
      <c r="M20" s="7"/>
      <c r="N20" s="7"/>
      <c r="O20" s="7"/>
      <c r="P20" s="7"/>
      <c r="Q20" s="7"/>
      <c r="R20" s="7"/>
      <c r="S20" s="7"/>
      <c r="T20" s="7"/>
      <c r="U20" s="7"/>
    </row>
    <row r="21" ht="16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6">
        <f>9*12+9+6*16+14</f>
        <v>227</v>
      </c>
      <c r="M21" t="s" s="5">
        <v>98</v>
      </c>
      <c r="N21" s="7"/>
      <c r="O21" s="7"/>
      <c r="P21" s="7"/>
      <c r="Q21" s="7"/>
      <c r="R21" s="7"/>
      <c r="S21" s="7"/>
      <c r="T21" s="7"/>
      <c r="U21" s="7"/>
    </row>
    <row r="22" ht="16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t="s" s="5">
        <v>99</v>
      </c>
      <c r="M22" s="7"/>
      <c r="N22" s="7"/>
      <c r="O22" s="7"/>
      <c r="P22" s="7"/>
      <c r="Q22" s="7"/>
      <c r="R22" s="7"/>
      <c r="S22" s="7"/>
      <c r="T22" s="7"/>
      <c r="U22" s="7"/>
    </row>
    <row r="23" ht="16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t="16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t="16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t="s" s="30">
        <v>100</v>
      </c>
      <c r="M25" s="7"/>
      <c r="N25" t="s" s="5">
        <v>88</v>
      </c>
      <c r="O25" t="s" s="5">
        <v>89</v>
      </c>
      <c r="P25" t="s" s="5">
        <v>90</v>
      </c>
      <c r="Q25" t="s" s="5">
        <v>91</v>
      </c>
      <c r="R25" t="s" s="5">
        <v>92</v>
      </c>
      <c r="S25" s="7"/>
      <c r="T25" t="s" s="5">
        <v>93</v>
      </c>
      <c r="U25" s="7"/>
    </row>
    <row r="26" ht="16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t="s" s="5">
        <v>101</v>
      </c>
      <c r="M26" s="7"/>
      <c r="N26" t="s" s="5">
        <v>102</v>
      </c>
      <c r="O26" s="6">
        <v>2</v>
      </c>
      <c r="P26" s="6">
        <v>4</v>
      </c>
      <c r="Q26" s="6">
        <v>2</v>
      </c>
      <c r="R26" s="6">
        <v>0</v>
      </c>
      <c r="S26" s="7"/>
      <c r="T26" s="6">
        <f>O26+P26/4-Q26/2-3/4*R26</f>
        <v>2</v>
      </c>
      <c r="U26" s="7"/>
    </row>
    <row r="27" ht="16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6">
        <v>60</v>
      </c>
      <c r="M27" t="s" s="5">
        <v>98</v>
      </c>
      <c r="N27" s="7"/>
      <c r="O27" s="7"/>
      <c r="P27" s="7"/>
      <c r="Q27" s="7"/>
      <c r="R27" s="7"/>
      <c r="S27" s="7"/>
      <c r="T27" s="7"/>
      <c r="U27" s="7"/>
    </row>
    <row r="28" ht="16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t="s" s="5">
        <v>103</v>
      </c>
      <c r="M28" s="7"/>
      <c r="N28" s="7"/>
      <c r="O28" s="7"/>
      <c r="P28" s="7"/>
      <c r="Q28" s="7"/>
      <c r="R28" s="7"/>
      <c r="S28" s="7"/>
      <c r="T28" s="7"/>
      <c r="U28" s="7"/>
    </row>
    <row r="29" ht="16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t="16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16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t="s" s="5">
        <v>104</v>
      </c>
      <c r="M31" s="7"/>
      <c r="N31" s="7"/>
      <c r="O31" s="7"/>
      <c r="P31" s="7"/>
      <c r="Q31" s="7"/>
      <c r="R31" s="7"/>
      <c r="S31" s="7"/>
      <c r="T31" s="7"/>
      <c r="U31" s="7"/>
    </row>
    <row r="32" ht="18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t="s" s="5">
        <v>105</v>
      </c>
      <c r="M32" s="7"/>
      <c r="N32" s="7"/>
      <c r="O32" s="7"/>
      <c r="P32" s="7"/>
      <c r="Q32" s="7"/>
      <c r="R32" s="7"/>
      <c r="S32" s="7"/>
      <c r="T32" s="7"/>
      <c r="U32" s="7"/>
    </row>
    <row r="33" ht="16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t="s" s="30">
        <v>106</v>
      </c>
      <c r="M33" s="7"/>
      <c r="N33" t="s" s="5">
        <v>88</v>
      </c>
      <c r="O33" t="s" s="5">
        <v>89</v>
      </c>
      <c r="P33" t="s" s="5">
        <v>90</v>
      </c>
      <c r="Q33" t="s" s="5">
        <v>91</v>
      </c>
      <c r="R33" t="s" s="5">
        <v>92</v>
      </c>
      <c r="S33" s="7"/>
      <c r="T33" t="s" s="5">
        <v>93</v>
      </c>
      <c r="U33" s="7"/>
    </row>
    <row r="34" ht="16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t="s" s="5">
        <v>107</v>
      </c>
      <c r="M34" s="7"/>
      <c r="N34" t="s" s="5">
        <v>102</v>
      </c>
      <c r="O34" s="6">
        <v>1</v>
      </c>
      <c r="P34" s="6">
        <v>1.8</v>
      </c>
      <c r="Q34" s="6">
        <v>0.5</v>
      </c>
      <c r="R34" s="6">
        <v>0.2</v>
      </c>
      <c r="S34" s="7"/>
      <c r="T34" s="6">
        <f>O34+P34/4-Q34/2-3/4*R34</f>
        <v>1.05</v>
      </c>
      <c r="U34" s="7"/>
    </row>
    <row r="35" ht="16" customHeight="1">
      <c r="A35" s="7"/>
      <c r="B35" s="7"/>
      <c r="C35" s="7"/>
      <c r="D35" s="7"/>
      <c r="E35" s="7"/>
      <c r="F35" s="7"/>
      <c r="G35" s="7"/>
      <c r="H35" s="7"/>
      <c r="I35" s="7"/>
      <c r="J35" s="10"/>
      <c r="K35" s="8"/>
      <c r="L35" t="s" s="5">
        <v>108</v>
      </c>
      <c r="M35" s="7"/>
      <c r="N35" s="7"/>
      <c r="O35" s="7"/>
      <c r="P35" s="7"/>
      <c r="Q35" s="7"/>
      <c r="R35" s="7"/>
      <c r="S35" s="7"/>
      <c r="T35" s="7"/>
      <c r="U35" s="7"/>
    </row>
    <row r="36" ht="16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6">
        <f>1+1.8/4-0.5/2-3/4*0.2</f>
        <v>1.05</v>
      </c>
      <c r="M36" s="6">
        <f>1+(1.8/4)-(0.5/2)-(3/4*0.2)</f>
        <v>1.05</v>
      </c>
      <c r="N36" s="7"/>
      <c r="O36" s="7"/>
      <c r="P36" s="7"/>
      <c r="Q36" s="7"/>
      <c r="R36" s="7"/>
      <c r="S36" s="7"/>
      <c r="T36" s="7"/>
      <c r="U36" s="7"/>
    </row>
    <row r="37" ht="16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31"/>
      <c r="N37" s="7"/>
      <c r="O37" s="7"/>
      <c r="P37" s="7"/>
      <c r="Q37" s="7"/>
      <c r="R37" s="7"/>
      <c r="S37" s="7"/>
      <c r="T37" s="7"/>
      <c r="U37" s="7"/>
    </row>
    <row r="38" ht="16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6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6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t="s" s="5">
        <v>109</v>
      </c>
      <c r="N40" s="7"/>
      <c r="O40" s="7"/>
      <c r="P40" s="7"/>
      <c r="Q40" s="7"/>
      <c r="R40" s="7"/>
      <c r="S40" s="7"/>
      <c r="T40" s="7"/>
      <c r="U40" s="7"/>
    </row>
    <row r="41" ht="16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6">
        <v>2.6</v>
      </c>
      <c r="N41" t="s" s="5">
        <v>110</v>
      </c>
      <c r="O41" s="7"/>
      <c r="P41" s="6">
        <v>2.6</v>
      </c>
      <c r="Q41" t="s" s="5">
        <v>110</v>
      </c>
      <c r="R41" s="7"/>
      <c r="S41" s="7"/>
      <c r="T41" s="7"/>
      <c r="U41" s="7"/>
    </row>
    <row r="42" ht="16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t="s" s="5">
        <v>111</v>
      </c>
      <c r="M42" s="6">
        <f>12+1.8+0.5*16+0.2*14</f>
        <v>24.6</v>
      </c>
      <c r="N42" t="s" s="5">
        <v>112</v>
      </c>
      <c r="O42" s="7"/>
      <c r="P42" s="7"/>
      <c r="Q42" s="7"/>
      <c r="R42" s="7"/>
      <c r="S42" s="7"/>
      <c r="T42" s="7"/>
      <c r="U42" s="7"/>
    </row>
    <row r="43" ht="16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6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6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6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6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6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32"/>
      <c r="M48" s="7"/>
      <c r="N48" s="7"/>
      <c r="O48" s="7"/>
      <c r="P48" s="7"/>
      <c r="Q48" s="7"/>
      <c r="R48" s="7"/>
      <c r="S48" s="7"/>
      <c r="T48" s="7"/>
      <c r="U48" s="7"/>
    </row>
    <row r="49" ht="16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6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t="s" s="5">
        <v>113</v>
      </c>
      <c r="N50" t="s" s="5">
        <v>114</v>
      </c>
      <c r="O50" s="7"/>
      <c r="P50" s="7"/>
      <c r="Q50" s="7"/>
      <c r="R50" s="7"/>
      <c r="S50" s="7"/>
      <c r="T50" s="7"/>
      <c r="U50" s="7"/>
    </row>
    <row r="51" ht="16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6">
        <f>0.2035/1419.5*1000</f>
        <v>0.143360338147235</v>
      </c>
      <c r="M51" t="s" s="5">
        <v>115</v>
      </c>
      <c r="N51" t="s" s="5">
        <v>116</v>
      </c>
      <c r="O51" s="7"/>
      <c r="P51" s="7"/>
      <c r="Q51" s="7"/>
      <c r="R51" s="7"/>
      <c r="S51" s="7"/>
      <c r="T51" s="7"/>
      <c r="U51" s="7"/>
    </row>
    <row r="52" ht="16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6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6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6">
        <f>0.00000005/24.6*0.1</f>
        <v>2.03252032520325e-10</v>
      </c>
      <c r="M54" t="s" s="5">
        <v>117</v>
      </c>
      <c r="N54" s="7"/>
      <c r="O54" s="7"/>
      <c r="P54" s="7"/>
      <c r="Q54" s="7"/>
      <c r="R54" s="7"/>
      <c r="S54" s="7"/>
      <c r="T54" s="7"/>
      <c r="U54" s="7"/>
    </row>
    <row r="55" ht="16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6">
        <f>1.05*2.03*10^-10</f>
        <v>2.1315e-10</v>
      </c>
      <c r="M55" s="7"/>
      <c r="N55" s="7"/>
      <c r="O55" s="7"/>
      <c r="P55" s="7"/>
      <c r="Q55" s="7"/>
      <c r="R55" s="7"/>
      <c r="S55" s="7"/>
      <c r="T55" s="7"/>
      <c r="U55" s="7"/>
    </row>
    <row r="56" ht="16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33"/>
      <c r="N56" s="7"/>
      <c r="O56" s="7"/>
      <c r="P56" s="7"/>
      <c r="Q56" s="7"/>
      <c r="R56" s="7"/>
      <c r="S56" s="7"/>
      <c r="T56" s="7"/>
      <c r="U56" s="7"/>
    </row>
    <row r="57" ht="16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34"/>
      <c r="M57" s="7"/>
      <c r="N57" s="7"/>
      <c r="O57" s="7"/>
      <c r="P57" s="7"/>
      <c r="Q57" s="7"/>
      <c r="R57" s="7"/>
      <c r="S57" s="7"/>
      <c r="T57" s="7"/>
      <c r="U57" s="7"/>
    </row>
    <row r="58" ht="16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t="s" s="5">
        <v>118</v>
      </c>
      <c r="M58" s="7"/>
      <c r="N58" s="7"/>
      <c r="O58" s="7"/>
      <c r="P58" s="7"/>
      <c r="Q58" s="7"/>
      <c r="R58" s="7"/>
      <c r="S58" s="7"/>
      <c r="T58" s="7"/>
      <c r="U58" s="7"/>
    </row>
    <row r="59" ht="18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t="s" s="5">
        <v>119</v>
      </c>
      <c r="M59" s="7"/>
      <c r="N59" s="7"/>
      <c r="O59" s="7"/>
      <c r="P59" s="7"/>
      <c r="Q59" s="7"/>
      <c r="R59" s="7"/>
      <c r="S59" s="7"/>
      <c r="T59" s="7"/>
      <c r="U59" s="7"/>
    </row>
    <row r="60" ht="16" customHeight="1">
      <c r="A60" s="7"/>
      <c r="B60" s="7"/>
      <c r="C60" t="s" s="5">
        <v>120</v>
      </c>
      <c r="D60" t="s" s="5">
        <v>121</v>
      </c>
      <c r="E60" s="7"/>
      <c r="F60" s="7"/>
      <c r="G60" s="7"/>
      <c r="H60" s="7"/>
      <c r="I60" s="7"/>
      <c r="J60" s="7"/>
      <c r="K60" s="7"/>
      <c r="L60" t="s" s="30">
        <v>122</v>
      </c>
      <c r="M60" s="6">
        <f>5*12+7+2*16+14</f>
        <v>113</v>
      </c>
      <c r="N60" t="s" s="5">
        <v>123</v>
      </c>
      <c r="O60" s="7"/>
      <c r="P60" s="7"/>
      <c r="Q60" s="7"/>
      <c r="R60" s="7"/>
      <c r="S60" s="7"/>
      <c r="T60" s="7"/>
      <c r="U60" s="7"/>
    </row>
    <row r="61" ht="16" customHeight="1">
      <c r="A61" s="7"/>
      <c r="B61" s="7"/>
      <c r="C61" s="7"/>
      <c r="D61" t="s" s="5">
        <v>124</v>
      </c>
      <c r="E61" t="s" s="5">
        <v>125</v>
      </c>
      <c r="F61" s="7"/>
      <c r="G61" s="7"/>
      <c r="H61" s="7"/>
      <c r="I61" s="7"/>
      <c r="J61" s="7"/>
      <c r="K61" s="7"/>
      <c r="L61" t="s" s="5">
        <v>126</v>
      </c>
      <c r="M61" s="7"/>
      <c r="N61" s="7"/>
      <c r="O61" s="7"/>
      <c r="P61" s="7"/>
      <c r="Q61" s="7"/>
      <c r="R61" s="7"/>
      <c r="S61" s="7"/>
      <c r="T61" s="7"/>
      <c r="U61" s="7"/>
    </row>
    <row r="62" ht="16" customHeight="1">
      <c r="A62" s="7"/>
      <c r="B62" s="7"/>
      <c r="C62" t="s" s="5">
        <v>127</v>
      </c>
      <c r="D62" s="6">
        <v>7.5</v>
      </c>
      <c r="E62" t="s" s="5">
        <v>125</v>
      </c>
      <c r="F62" s="7"/>
      <c r="G62" s="7"/>
      <c r="H62" s="7"/>
      <c r="I62" s="7"/>
      <c r="J62" s="7"/>
      <c r="K62" s="7"/>
      <c r="L62" t="s" s="5">
        <v>128</v>
      </c>
      <c r="M62" s="7"/>
      <c r="N62" s="7"/>
      <c r="O62" s="7"/>
      <c r="P62" s="7"/>
      <c r="Q62" s="7"/>
      <c r="R62" s="7"/>
      <c r="S62" s="7"/>
      <c r="T62" s="7"/>
      <c r="U62" s="7"/>
    </row>
    <row r="63" ht="16" customHeight="1">
      <c r="A63" s="7"/>
      <c r="B63" s="7"/>
      <c r="C63" t="s" s="5">
        <v>129</v>
      </c>
      <c r="D63" s="6">
        <v>5.9</v>
      </c>
      <c r="E63" t="s" s="5">
        <v>125</v>
      </c>
      <c r="F63" s="7"/>
      <c r="G63" s="7"/>
      <c r="H63" s="7"/>
      <c r="I63" s="7"/>
      <c r="J63" s="7"/>
      <c r="K63" s="7"/>
      <c r="L63" t="s" s="5">
        <v>130</v>
      </c>
      <c r="M63" s="7"/>
      <c r="N63" s="7"/>
      <c r="O63" s="7"/>
      <c r="P63" s="7"/>
      <c r="Q63" s="7"/>
      <c r="R63" s="7"/>
      <c r="S63" s="7"/>
      <c r="T63" s="7"/>
      <c r="U63" s="7"/>
    </row>
    <row r="64" ht="16" customHeight="1">
      <c r="A64" s="7"/>
      <c r="B64" s="7"/>
      <c r="C64" t="s" s="35">
        <v>131</v>
      </c>
      <c r="D64" s="36">
        <f>D62-D63</f>
        <v>1.6</v>
      </c>
      <c r="E64" t="s" s="35">
        <v>125</v>
      </c>
      <c r="F64" s="37"/>
      <c r="G64" s="7"/>
      <c r="H64" s="7"/>
      <c r="I64" s="7"/>
      <c r="J64" s="7"/>
      <c r="K64" s="6">
        <f>17/4</f>
        <v>4.25</v>
      </c>
      <c r="L64" t="s" s="5">
        <v>132</v>
      </c>
      <c r="M64" s="7"/>
      <c r="N64" s="7"/>
      <c r="O64" s="7"/>
      <c r="P64" s="7"/>
      <c r="Q64" s="7"/>
      <c r="R64" s="7"/>
      <c r="S64" s="7"/>
      <c r="T64" s="7"/>
      <c r="U64" s="7"/>
    </row>
    <row r="65" ht="16" customHeight="1">
      <c r="A65" s="7"/>
      <c r="B65" s="7"/>
      <c r="C65" t="s" s="35">
        <v>133</v>
      </c>
      <c r="D65" s="36">
        <f>D62+D63</f>
        <v>13.4</v>
      </c>
      <c r="E65" t="s" s="35">
        <v>125</v>
      </c>
      <c r="F65" s="37"/>
      <c r="G65" s="7"/>
      <c r="H65" s="7"/>
      <c r="I65" s="7"/>
      <c r="J65" s="7"/>
      <c r="K65" s="7"/>
      <c r="L65" t="s" s="5">
        <v>134</v>
      </c>
      <c r="M65" s="7"/>
      <c r="N65" s="7"/>
      <c r="O65" s="7"/>
      <c r="P65" s="7"/>
      <c r="Q65" s="7"/>
      <c r="R65" s="7"/>
      <c r="S65" s="7"/>
      <c r="T65" s="7"/>
      <c r="U65" s="7"/>
    </row>
    <row r="66" ht="16" customHeight="1">
      <c r="A66" s="7"/>
      <c r="B66" s="7"/>
      <c r="C66" t="s" s="5">
        <v>135</v>
      </c>
      <c r="D66" s="6">
        <f>D62/227.172/1000</f>
        <v>3.301463208494e-05</v>
      </c>
      <c r="E66" t="s" s="5">
        <v>136</v>
      </c>
      <c r="F66" s="7"/>
      <c r="G66" s="7"/>
      <c r="H66" s="7"/>
      <c r="I66" s="7"/>
      <c r="J66" s="7"/>
      <c r="K66" s="7"/>
      <c r="L66" s="6">
        <f>4.25*32</f>
        <v>136</v>
      </c>
      <c r="M66" t="s" s="5">
        <v>137</v>
      </c>
      <c r="N66" s="7"/>
      <c r="O66" s="7"/>
      <c r="P66" s="7"/>
      <c r="Q66" s="7"/>
      <c r="R66" s="7"/>
      <c r="S66" s="7"/>
      <c r="T66" s="7"/>
      <c r="U66" s="7"/>
    </row>
    <row r="67" ht="16" customHeight="1">
      <c r="A67" s="7"/>
      <c r="B67" s="7"/>
      <c r="C67" t="s" s="5">
        <v>138</v>
      </c>
      <c r="D67" s="6">
        <f>D63/227.172/1000</f>
        <v>2.59715105734862e-05</v>
      </c>
      <c r="E67" t="s" s="5">
        <v>136</v>
      </c>
      <c r="F67" s="7"/>
      <c r="G67" s="7"/>
      <c r="H67" s="7"/>
      <c r="I67" s="7"/>
      <c r="J67" s="7"/>
      <c r="K67" s="7"/>
      <c r="L67" s="6">
        <f>L66/M60</f>
        <v>1.20353982300885</v>
      </c>
      <c r="M67" t="s" s="5">
        <v>139</v>
      </c>
      <c r="N67" s="7"/>
      <c r="O67" s="7"/>
      <c r="P67" s="7"/>
      <c r="Q67" s="7"/>
      <c r="R67" s="7"/>
      <c r="S67" s="7"/>
      <c r="T67" s="7"/>
      <c r="U67" s="7"/>
    </row>
    <row r="68" ht="16" customHeight="1">
      <c r="A68" s="7"/>
      <c r="B68" s="7"/>
      <c r="C68" t="s" s="5">
        <v>135</v>
      </c>
      <c r="D68" s="6">
        <f>D66*24.6</f>
        <v>0.000812159949289524</v>
      </c>
      <c r="E68" t="s" s="5">
        <v>140</v>
      </c>
      <c r="F68" s="7"/>
      <c r="G68" s="7"/>
      <c r="H68" s="7"/>
      <c r="I68" s="7"/>
      <c r="J68" s="7"/>
      <c r="K68" s="7"/>
      <c r="L68" t="s" s="5">
        <v>141</v>
      </c>
      <c r="M68" s="7"/>
      <c r="N68" s="7"/>
      <c r="O68" s="7"/>
      <c r="P68" s="7"/>
      <c r="Q68" s="7"/>
      <c r="R68" s="7"/>
      <c r="S68" s="7"/>
      <c r="T68" s="7"/>
      <c r="U68" s="7"/>
    </row>
    <row r="69" ht="16" customHeight="1">
      <c r="A69" s="7"/>
      <c r="B69" s="7"/>
      <c r="C69" t="s" s="5">
        <v>138</v>
      </c>
      <c r="D69" s="6">
        <f>D67*24.6</f>
        <v>0.000638899160107761</v>
      </c>
      <c r="E69" t="s" s="5">
        <v>140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6" customHeight="1">
      <c r="A70" s="7"/>
      <c r="B70" s="7"/>
      <c r="C70" t="s" s="5">
        <v>135</v>
      </c>
      <c r="D70" s="6">
        <f>D68*1.075/1.05</f>
        <v>0.000831497090939275</v>
      </c>
      <c r="E70" t="s" s="5">
        <v>142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6" customHeight="1">
      <c r="A71" s="7"/>
      <c r="B71" s="7"/>
      <c r="C71" t="s" s="5">
        <v>138</v>
      </c>
      <c r="D71" s="6">
        <f>D69*1.075/1.05</f>
        <v>0.000654111044872231</v>
      </c>
      <c r="E71" t="s" s="5">
        <v>142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6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6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6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6" customHeight="1">
      <c r="A75" s="7"/>
      <c r="B75" s="7"/>
      <c r="C75" t="s" s="38">
        <v>143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6" customHeight="1">
      <c r="A76" s="7"/>
      <c r="B76" s="7"/>
      <c r="C76" s="7"/>
      <c r="D76" s="6">
        <v>0.33</v>
      </c>
      <c r="E76" t="s" s="5">
        <v>144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6" customHeight="1">
      <c r="A77" s="7"/>
      <c r="B77" s="7"/>
      <c r="C77" s="7"/>
      <c r="D77" s="6">
        <v>0.73</v>
      </c>
      <c r="E77" t="s" s="5">
        <v>144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6" customHeight="1">
      <c r="A78" s="7"/>
      <c r="B78" s="7"/>
      <c r="C78" s="7"/>
      <c r="D78" s="6">
        <f>D76/1000000</f>
        <v>3.3e-07</v>
      </c>
      <c r="E78" t="s" s="5">
        <v>145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6" customHeight="1">
      <c r="A79" s="7"/>
      <c r="B79" s="7"/>
      <c r="C79" s="7"/>
      <c r="D79" s="6">
        <f>D77/1000000</f>
        <v>7.3e-07</v>
      </c>
      <c r="E79" t="s" s="5">
        <v>145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6" customHeight="1">
      <c r="A80" s="7"/>
      <c r="B80" s="7"/>
      <c r="C80" s="7"/>
      <c r="D80" s="6">
        <f>D78/12</f>
        <v>2.75e-08</v>
      </c>
      <c r="E80" t="s" s="5">
        <v>146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6" customHeight="1">
      <c r="A81" s="7"/>
      <c r="B81" s="7"/>
      <c r="C81" s="7"/>
      <c r="D81" s="6">
        <f>D79/12</f>
        <v>6.08333333333333e-08</v>
      </c>
      <c r="E81" t="s" s="5">
        <v>146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6" customHeight="1">
      <c r="A82" s="7"/>
      <c r="B82" s="7"/>
      <c r="C82" s="7"/>
      <c r="D82" s="6">
        <f>D80/0.0000005*0.1</f>
        <v>0.0055</v>
      </c>
      <c r="E82" t="s" s="5">
        <v>147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6" customHeight="1">
      <c r="A83" s="7"/>
      <c r="B83" s="7"/>
      <c r="C83" s="7"/>
      <c r="D83" s="6">
        <f>D81/0.0000005*0.1</f>
        <v>0.0121666666666667</v>
      </c>
      <c r="E83" t="s" s="5">
        <v>148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6" customHeight="1">
      <c r="A84" s="7"/>
      <c r="B84" s="7"/>
      <c r="C84" s="7"/>
      <c r="D84" s="6">
        <f>D82*24.6</f>
        <v>0.1353</v>
      </c>
      <c r="E84" t="s" s="5">
        <v>149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6" customHeight="1">
      <c r="A85" s="7"/>
      <c r="B85" s="7"/>
      <c r="C85" s="7"/>
      <c r="D85" s="6">
        <f>D83*24.6</f>
        <v>0.299300000000001</v>
      </c>
      <c r="E85" t="s" s="5">
        <v>149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6" customHeight="1">
      <c r="A86" s="7"/>
      <c r="B86" s="7"/>
      <c r="C86" s="7"/>
      <c r="D86" s="6">
        <f>D84*1/1.05</f>
        <v>0.128857142857143</v>
      </c>
      <c r="E86" t="s" s="5">
        <v>150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6" customHeight="1">
      <c r="A87" s="7"/>
      <c r="B87" s="7"/>
      <c r="C87" s="7"/>
      <c r="D87" s="6">
        <f>D85*1/1.05</f>
        <v>0.28504761904762</v>
      </c>
      <c r="E87" t="s" s="5">
        <v>150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6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6" customHeight="1">
      <c r="A89" s="7"/>
      <c r="B89" s="7"/>
      <c r="C89" s="7"/>
      <c r="D89" s="6">
        <f>AVERAGE(D87,D86,D70,D125,D126)</f>
        <v>0.0842426814543718</v>
      </c>
      <c r="E89" t="s" s="5">
        <v>151</v>
      </c>
      <c r="F89" s="7"/>
      <c r="G89" s="7"/>
      <c r="H89" s="7"/>
      <c r="I89" s="7"/>
      <c r="J89" s="7"/>
      <c r="K89" t="s" s="38">
        <v>152</v>
      </c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6" customHeight="1">
      <c r="A90" s="7"/>
      <c r="B90" s="7"/>
      <c r="C90" s="7"/>
      <c r="D90" s="39">
        <v>6.905e-06</v>
      </c>
      <c r="E90" t="s" s="5">
        <v>153</v>
      </c>
      <c r="F90" s="7"/>
      <c r="G90" s="7"/>
      <c r="H90" s="7"/>
      <c r="I90" s="7"/>
      <c r="J90" s="7"/>
      <c r="K90" s="6">
        <v>0.35</v>
      </c>
      <c r="L90" t="s" s="5">
        <v>154</v>
      </c>
      <c r="M90" s="7"/>
      <c r="N90" s="7"/>
      <c r="O90" s="7"/>
      <c r="P90" s="7"/>
      <c r="Q90" s="7"/>
      <c r="R90" s="7"/>
      <c r="S90" s="7"/>
      <c r="T90" s="7"/>
      <c r="U90" s="7"/>
    </row>
    <row r="91" ht="16" customHeight="1">
      <c r="A91" s="7"/>
      <c r="B91" s="7"/>
      <c r="C91" s="7"/>
      <c r="D91" s="39">
        <f>D89*D90</f>
        <v>5.81695715442437e-07</v>
      </c>
      <c r="E91" t="s" s="5">
        <v>155</v>
      </c>
      <c r="F91" s="7"/>
      <c r="G91" s="7"/>
      <c r="H91" s="7"/>
      <c r="I91" s="7"/>
      <c r="J91" s="7"/>
      <c r="K91" s="6">
        <f>K90/1000000/24.6</f>
        <v>1.42276422764228e-08</v>
      </c>
      <c r="L91" t="s" s="5">
        <v>156</v>
      </c>
      <c r="M91" s="7"/>
      <c r="N91" s="7"/>
      <c r="O91" s="7"/>
      <c r="P91" s="7"/>
      <c r="Q91" s="7"/>
      <c r="R91" s="7"/>
      <c r="S91" s="7"/>
      <c r="T91" s="7"/>
      <c r="U91" s="7"/>
    </row>
    <row r="92" ht="16" customHeight="1">
      <c r="A92" s="7"/>
      <c r="B92" s="7"/>
      <c r="C92" s="7"/>
      <c r="D92" s="39">
        <f>D91</f>
        <v>5.81695715442437e-07</v>
      </c>
      <c r="E92" t="s" s="5">
        <v>157</v>
      </c>
      <c r="F92" s="7"/>
      <c r="G92" s="7"/>
      <c r="H92" s="7"/>
      <c r="I92" s="7"/>
      <c r="J92" s="7"/>
      <c r="K92" s="6">
        <f>K91*1.05</f>
        <v>1.49390243902439e-08</v>
      </c>
      <c r="L92" t="s" s="5">
        <v>158</v>
      </c>
      <c r="M92" s="7"/>
      <c r="N92" s="7"/>
      <c r="O92" s="7"/>
      <c r="P92" s="7"/>
      <c r="Q92" s="7"/>
      <c r="R92" s="7"/>
      <c r="S92" s="7"/>
      <c r="T92" s="7"/>
      <c r="U92" s="7"/>
    </row>
    <row r="93" ht="16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6">
        <f>0.00001</f>
        <v>1e-05</v>
      </c>
      <c r="L93" t="s" s="5">
        <v>159</v>
      </c>
      <c r="M93" s="7"/>
      <c r="N93" s="7"/>
      <c r="O93" s="7"/>
      <c r="P93" s="7"/>
      <c r="Q93" s="7"/>
      <c r="R93" s="7"/>
      <c r="S93" s="7"/>
      <c r="T93" s="7"/>
      <c r="U93" s="7"/>
    </row>
    <row r="94" ht="16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6">
        <f>K92/K93</f>
        <v>0.00149390243902439</v>
      </c>
      <c r="L94" t="s" s="5">
        <v>160</v>
      </c>
      <c r="M94" s="7"/>
      <c r="N94" s="7"/>
      <c r="O94" s="7"/>
      <c r="P94" s="7"/>
      <c r="Q94" s="7"/>
      <c r="R94" s="7"/>
      <c r="S94" s="7"/>
      <c r="T94" s="7"/>
      <c r="U94" s="7"/>
    </row>
    <row r="95" ht="16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6" customHeight="1">
      <c r="A96" s="7"/>
      <c r="B96" s="7"/>
      <c r="C96" s="7"/>
      <c r="D96" s="7"/>
      <c r="E96" t="s" s="5">
        <v>161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6" customHeight="1">
      <c r="A97" s="7"/>
      <c r="B97" s="7"/>
      <c r="C97" s="7"/>
      <c r="D97" s="6">
        <v>0.335</v>
      </c>
      <c r="E97" t="s" s="40">
        <v>162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6" customHeight="1">
      <c r="A98" s="7"/>
      <c r="B98" s="7"/>
      <c r="C98" s="7"/>
      <c r="D98" s="6">
        <v>9.09</v>
      </c>
      <c r="E98" t="s" s="5">
        <v>163</v>
      </c>
      <c r="F98" t="s" s="5">
        <v>164</v>
      </c>
      <c r="G98" s="7"/>
      <c r="H98" s="7"/>
      <c r="I98" s="7"/>
      <c r="J98" s="7"/>
      <c r="K98" s="7"/>
      <c r="L98" t="s" s="5">
        <v>165</v>
      </c>
      <c r="M98" s="7"/>
      <c r="N98" s="7"/>
      <c r="O98" s="7"/>
      <c r="P98" s="7"/>
      <c r="Q98" s="7"/>
      <c r="R98" s="7"/>
      <c r="S98" s="7"/>
      <c r="T98" s="7"/>
      <c r="U98" s="7"/>
    </row>
    <row r="99" ht="16" customHeight="1">
      <c r="A99" s="7"/>
      <c r="B99" s="7"/>
      <c r="C99" s="7"/>
      <c r="D99" s="6">
        <v>7.58</v>
      </c>
      <c r="E99" t="s" s="5">
        <v>163</v>
      </c>
      <c r="F99" t="s" s="5">
        <v>166</v>
      </c>
      <c r="G99" s="7"/>
      <c r="H99" s="7"/>
      <c r="I99" s="7"/>
      <c r="J99" s="7"/>
      <c r="K99" s="7"/>
      <c r="L99" s="6">
        <f>AVERAGE(D127,D86:D87,D70)</f>
        <v>0.103714686071389</v>
      </c>
      <c r="M99" t="s" s="5">
        <v>167</v>
      </c>
      <c r="N99" t="s" s="38">
        <v>168</v>
      </c>
      <c r="O99" s="7"/>
      <c r="P99" s="7"/>
      <c r="Q99" s="7"/>
      <c r="R99" s="7"/>
      <c r="S99" s="7"/>
      <c r="T99" s="7"/>
      <c r="U99" s="7"/>
    </row>
    <row r="100" ht="16" customHeight="1">
      <c r="A100" s="7"/>
      <c r="B100" s="7"/>
      <c r="C100" s="7"/>
      <c r="D100" s="6">
        <v>7.96</v>
      </c>
      <c r="E100" t="s" s="5">
        <v>163</v>
      </c>
      <c r="F100" t="s" s="5">
        <v>169</v>
      </c>
      <c r="G100" s="7"/>
      <c r="H100" s="7"/>
      <c r="I100" s="7"/>
      <c r="J100" s="7"/>
      <c r="K100" s="7"/>
      <c r="L100" s="7"/>
      <c r="M100" s="7"/>
      <c r="N100" t="s" s="5">
        <v>170</v>
      </c>
      <c r="O100" s="7"/>
      <c r="P100" s="7"/>
      <c r="Q100" s="7"/>
      <c r="R100" s="7"/>
      <c r="S100" s="7"/>
      <c r="T100" s="7"/>
      <c r="U100" s="7"/>
    </row>
    <row r="101" ht="16" customHeight="1">
      <c r="A101" s="7"/>
      <c r="B101" s="7"/>
      <c r="C101" s="7"/>
      <c r="D101" s="6">
        <v>6.52</v>
      </c>
      <c r="E101" t="s" s="5">
        <v>163</v>
      </c>
      <c r="F101" t="s" s="5">
        <v>171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6" customHeight="1">
      <c r="A102" s="7"/>
      <c r="B102" s="7"/>
      <c r="C102" s="7"/>
      <c r="D102" s="6">
        <v>4.71</v>
      </c>
      <c r="E102" t="s" s="40">
        <v>172</v>
      </c>
      <c r="F102" t="s" s="5">
        <v>166</v>
      </c>
      <c r="G102" s="7"/>
      <c r="H102" s="6">
        <f>AVERAGE(D102:D105)</f>
        <v>4.3425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6" customHeight="1">
      <c r="A103" s="7"/>
      <c r="B103" s="7"/>
      <c r="C103" s="7"/>
      <c r="D103" s="6">
        <v>4.35</v>
      </c>
      <c r="E103" t="s" s="40">
        <v>172</v>
      </c>
      <c r="F103" t="s" s="5">
        <v>169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6" customHeight="1">
      <c r="A104" s="7"/>
      <c r="B104" s="7"/>
      <c r="C104" s="7"/>
      <c r="D104" s="6">
        <v>4.18</v>
      </c>
      <c r="E104" t="s" s="40">
        <v>172</v>
      </c>
      <c r="F104" t="s" s="5">
        <v>171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6" customHeight="1">
      <c r="A105" s="7"/>
      <c r="B105" s="7"/>
      <c r="C105" s="7"/>
      <c r="D105" s="6">
        <v>4.13</v>
      </c>
      <c r="E105" t="s" s="40">
        <v>172</v>
      </c>
      <c r="F105" t="s" s="5">
        <v>164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6" customHeight="1">
      <c r="A106" s="7"/>
      <c r="B106" s="7"/>
      <c r="C106" s="7"/>
      <c r="D106" s="6">
        <v>4.3</v>
      </c>
      <c r="E106" t="s" s="40">
        <v>173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6" customHeight="1">
      <c r="A107" s="7"/>
      <c r="B107" s="7"/>
      <c r="C107" s="7"/>
      <c r="D107" s="6">
        <v>0.5</v>
      </c>
      <c r="E107" t="s" s="40">
        <v>174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20" customHeight="1">
      <c r="A108" s="7"/>
      <c r="B108" s="7"/>
      <c r="C108" s="7"/>
      <c r="D108" s="6">
        <v>14.9</v>
      </c>
      <c r="E108" t="s" s="40">
        <v>175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6" customHeight="1">
      <c r="A109" s="7"/>
      <c r="B109" s="7"/>
      <c r="C109" s="7"/>
      <c r="D109" s="6">
        <v>1.9</v>
      </c>
      <c r="E109" t="s" s="40">
        <v>176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6" customHeight="1">
      <c r="A110" s="7"/>
      <c r="B110" s="7"/>
      <c r="C110" s="7"/>
      <c r="D110" s="6">
        <v>12.4</v>
      </c>
      <c r="E110" t="s" s="40">
        <v>177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6" customHeight="1">
      <c r="A111" s="7"/>
      <c r="B111" s="7"/>
      <c r="C111" s="7"/>
      <c r="D111" s="6">
        <v>1.2</v>
      </c>
      <c r="E111" t="s" s="40">
        <v>178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6" customHeight="1">
      <c r="A112" s="7"/>
      <c r="B112" s="7"/>
      <c r="C112" s="7"/>
      <c r="D112" s="6">
        <v>0.01</v>
      </c>
      <c r="E112" t="s" s="40">
        <v>179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6" customHeight="1">
      <c r="A113" s="7"/>
      <c r="B113" s="7"/>
      <c r="C113" s="7"/>
      <c r="D113" s="6">
        <v>8.1</v>
      </c>
      <c r="E113" t="s" s="40">
        <v>180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6" customHeight="1">
      <c r="A114" s="7"/>
      <c r="B114" s="7"/>
      <c r="C114" s="7"/>
      <c r="D114" s="41">
        <v>0.153363125</v>
      </c>
      <c r="E114" t="s" s="40">
        <v>181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6" customHeight="1">
      <c r="A115" s="7"/>
      <c r="B115" s="7"/>
      <c r="C115" s="7"/>
      <c r="D115" s="42"/>
      <c r="E115" t="s" s="40">
        <v>182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6" customHeight="1">
      <c r="A116" s="7"/>
      <c r="B116" s="7"/>
      <c r="C116" s="7"/>
      <c r="D116" s="6">
        <f>D112/12/1000</f>
        <v>8.33333333333333e-07</v>
      </c>
      <c r="E116" t="s" s="40">
        <v>183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6" customHeight="1">
      <c r="A117" s="7"/>
      <c r="B117" s="7"/>
      <c r="C117" s="7"/>
      <c r="D117" s="6">
        <f>D113/12/1000</f>
        <v>0.000675</v>
      </c>
      <c r="E117" t="s" s="40">
        <v>184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6" customHeight="1">
      <c r="A118" s="7"/>
      <c r="B118" s="7"/>
      <c r="C118" s="7"/>
      <c r="D118" s="6">
        <f>D114/12/1000</f>
        <v>1.27802604166667e-05</v>
      </c>
      <c r="E118" t="s" s="40">
        <v>185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6" customHeight="1">
      <c r="A119" s="7"/>
      <c r="B119" s="7"/>
      <c r="C119" s="7"/>
      <c r="D119" s="6">
        <f>D116/H$102</f>
        <v>1.91901746305891e-07</v>
      </c>
      <c r="E119" t="s" s="40">
        <v>186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6" customHeight="1">
      <c r="A120" s="7"/>
      <c r="B120" s="7"/>
      <c r="C120" s="7"/>
      <c r="D120" s="6">
        <f>D117/H$102</f>
        <v>0.000155440414507772</v>
      </c>
      <c r="E120" t="s" s="40">
        <v>187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6" customHeight="1">
      <c r="A121" s="7"/>
      <c r="B121" s="7"/>
      <c r="C121" s="7"/>
      <c r="D121" s="6">
        <f>D118/H$102</f>
        <v>2.94306515064288e-06</v>
      </c>
      <c r="E121" t="s" s="40">
        <v>188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6" customHeight="1">
      <c r="A122" s="7"/>
      <c r="B122" s="7"/>
      <c r="C122" s="7"/>
      <c r="D122" s="6">
        <f>D119*1000/24.6</f>
        <v>7.80088399617443e-06</v>
      </c>
      <c r="E122" t="s" s="40">
        <v>189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6" customHeight="1">
      <c r="A123" s="7"/>
      <c r="B123" s="7"/>
      <c r="C123" s="7"/>
      <c r="D123" s="6">
        <f>D120*1000/24.6</f>
        <v>0.0063187160369013</v>
      </c>
      <c r="E123" t="s" s="40">
        <v>190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6" customHeight="1">
      <c r="A124" s="7"/>
      <c r="B124" s="7"/>
      <c r="C124" s="7"/>
      <c r="D124" s="6">
        <f>D121*1000/24.6</f>
        <v>0.00011963679474158</v>
      </c>
      <c r="E124" t="s" s="40">
        <v>191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6" customHeight="1">
      <c r="A125" s="7"/>
      <c r="B125" s="7"/>
      <c r="C125" s="7"/>
      <c r="D125" s="6">
        <f>D122*1.075/1.05</f>
        <v>7.986619329416679e-06</v>
      </c>
      <c r="E125" t="s" s="40">
        <v>192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6" customHeight="1">
      <c r="A126" s="7"/>
      <c r="B126" s="7"/>
      <c r="C126" s="7"/>
      <c r="D126" s="6">
        <f>D123*1.075/1.05</f>
        <v>0.00646916165682752</v>
      </c>
      <c r="E126" t="s" s="40">
        <v>193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6" customHeight="1">
      <c r="A127" s="7"/>
      <c r="B127" s="7"/>
      <c r="C127" s="7"/>
      <c r="D127" s="6">
        <f>D124*1.075/1.05</f>
        <v>0.000122485289854475</v>
      </c>
      <c r="E127" t="s" s="40">
        <v>194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6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6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210" customHeight="1">
      <c r="A130" s="7"/>
      <c r="B130" s="7"/>
      <c r="C130" s="7"/>
      <c r="D130" t="s" s="43">
        <v>195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6" customHeight="1">
      <c r="A131" s="7"/>
      <c r="B131" s="7"/>
      <c r="C131" s="7"/>
      <c r="D131" s="6">
        <f>7.3*10^-5</f>
        <v>7.3e-05</v>
      </c>
      <c r="E131" t="s" s="5">
        <v>196</v>
      </c>
      <c r="F131" t="s" s="5">
        <v>197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6" customHeight="1">
      <c r="A132" s="7"/>
      <c r="B132" s="7"/>
      <c r="C132" s="7"/>
      <c r="D132" s="6">
        <f>D131/3.5</f>
        <v>2.08571428571429e-05</v>
      </c>
      <c r="E132" t="s" s="5">
        <v>198</v>
      </c>
      <c r="F132" t="s" s="5">
        <v>199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6" customHeight="1">
      <c r="A133" s="7"/>
      <c r="B133" s="7"/>
      <c r="C133" s="7"/>
      <c r="D133" s="6">
        <v>630000</v>
      </c>
      <c r="E133" t="s" s="5">
        <v>200</v>
      </c>
      <c r="F133" t="s" s="5">
        <v>201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6" customHeight="1">
      <c r="A134" s="7"/>
      <c r="B134" s="7"/>
      <c r="C134" s="7"/>
      <c r="D134" s="6">
        <f>D133*1000000000000</f>
        <v>6.3e+17</v>
      </c>
      <c r="E134" t="s" s="5">
        <v>202</v>
      </c>
      <c r="F134" t="s" s="5">
        <v>201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6" customHeight="1">
      <c r="A135" s="7"/>
      <c r="B135" s="7"/>
      <c r="C135" s="7"/>
      <c r="D135" s="6">
        <f>D134*D132</f>
        <v>13140000000000</v>
      </c>
      <c r="E135" t="s" s="5">
        <v>203</v>
      </c>
      <c r="F135" t="s" s="5">
        <v>204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6" customHeight="1">
      <c r="A136" s="7"/>
      <c r="B136" s="7"/>
      <c r="C136" s="7"/>
      <c r="D136" s="6">
        <f>9*12+9+6*16+14</f>
        <v>227</v>
      </c>
      <c r="E136" t="s" s="5">
        <v>205</v>
      </c>
      <c r="F136" t="s" s="5">
        <v>206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6" customHeight="1">
      <c r="A137" s="7"/>
      <c r="B137" s="7"/>
      <c r="C137" s="7"/>
      <c r="D137" s="6">
        <f>D135*D136</f>
        <v>2982780000000000</v>
      </c>
      <c r="E137" t="s" s="5">
        <v>207</v>
      </c>
      <c r="F137" t="s" s="5">
        <v>204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6" customHeight="1">
      <c r="A138" s="7"/>
      <c r="B138" s="7"/>
      <c r="C138" s="7"/>
      <c r="D138" s="6">
        <f>D137/1000</f>
        <v>2982780000000</v>
      </c>
      <c r="E138" t="s" s="5">
        <v>208</v>
      </c>
      <c r="F138" t="s" s="5">
        <v>204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6" customHeight="1">
      <c r="A139" s="7"/>
      <c r="B139" s="7"/>
      <c r="C139" s="7"/>
      <c r="D139" s="6">
        <f>D138/1000</f>
        <v>2982780000</v>
      </c>
      <c r="E139" t="s" s="5">
        <v>209</v>
      </c>
      <c r="F139" t="s" s="5">
        <v>204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</sheetData>
  <hyperlinks>
    <hyperlink ref="L16" r:id="rId1" location="" tooltip="" display="C9H9NO6, and an average mass of 227.172 g / mol (ID: 32820151; https://www.chemspider.com/Chemical-Structure.32820151.html"/>
  </hyperlinks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