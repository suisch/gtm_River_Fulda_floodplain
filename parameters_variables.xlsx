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usanneschmidt/Downloads/"/>
    </mc:Choice>
  </mc:AlternateContent>
  <xr:revisionPtr revIDLastSave="0" documentId="13_ncr:1_{736ADDDC-5FE4-F04A-8B74-227FB800905C}" xr6:coauthVersionLast="47" xr6:coauthVersionMax="47" xr10:uidLastSave="{00000000-0000-0000-0000-000000000000}"/>
  <bookViews>
    <workbookView xWindow="0" yWindow="500" windowWidth="25820" windowHeight="13900" xr2:uid="{8E85E7A9-C450-5844-BD64-77EB6910F2CD}"/>
  </bookViews>
  <sheets>
    <sheet name="Tabelle1" sheetId="1" r:id="rId1"/>
    <sheet name="calculating_COD" sheetId="6" r:id="rId2"/>
  </sheets>
  <definedNames>
    <definedName name="_xlnm._FilterDatabase" localSheetId="0" hidden="1">Tabelle1!$A$3:$AL$3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39" i="6" l="1"/>
  <c r="D138" i="6"/>
  <c r="D137" i="6"/>
  <c r="D136" i="6"/>
  <c r="D135" i="6"/>
  <c r="D132" i="6"/>
  <c r="D134" i="6"/>
  <c r="D131" i="6"/>
  <c r="AI4" i="1"/>
  <c r="AG9" i="1"/>
  <c r="AG8" i="1"/>
  <c r="AG7" i="1"/>
  <c r="AG6" i="1"/>
  <c r="AG5" i="1"/>
  <c r="AG4" i="1"/>
  <c r="L99" i="6"/>
  <c r="D127" i="6"/>
  <c r="D118" i="6"/>
  <c r="D121" i="6" s="1"/>
  <c r="D124" i="6" s="1"/>
  <c r="AI9" i="1"/>
  <c r="AI8" i="1"/>
  <c r="AI7" i="1"/>
  <c r="AI6" i="1"/>
  <c r="AI5" i="1"/>
  <c r="X9" i="1"/>
  <c r="X8" i="1"/>
  <c r="X7" i="1"/>
  <c r="X6" i="1"/>
  <c r="X5" i="1"/>
  <c r="X4" i="1"/>
  <c r="H102" i="6"/>
  <c r="D117" i="6"/>
  <c r="D116" i="6"/>
  <c r="K93" i="6"/>
  <c r="K91" i="6"/>
  <c r="K92" i="6" s="1"/>
  <c r="Z9" i="1"/>
  <c r="AA9" i="1" s="1"/>
  <c r="Z4" i="1"/>
  <c r="D79" i="6"/>
  <c r="D81" i="6" s="1"/>
  <c r="D83" i="6" s="1"/>
  <c r="D85" i="6" s="1"/>
  <c r="D87" i="6" s="1"/>
  <c r="D78" i="6"/>
  <c r="D80" i="6" s="1"/>
  <c r="D82" i="6" s="1"/>
  <c r="D84" i="6" s="1"/>
  <c r="D86" i="6" s="1"/>
  <c r="W9" i="1"/>
  <c r="V9" i="1"/>
  <c r="Q9" i="1"/>
  <c r="G9" i="1"/>
  <c r="F9" i="1"/>
  <c r="Z8" i="1"/>
  <c r="AA8" i="1" s="1"/>
  <c r="W8" i="1"/>
  <c r="V8" i="1"/>
  <c r="Q8" i="1"/>
  <c r="G8" i="1"/>
  <c r="F8" i="1"/>
  <c r="Z7" i="1"/>
  <c r="AA7" i="1" s="1"/>
  <c r="W7" i="1"/>
  <c r="V7" i="1"/>
  <c r="Q7" i="1"/>
  <c r="G7" i="1"/>
  <c r="F7" i="1"/>
  <c r="Z6" i="1"/>
  <c r="AA6" i="1" s="1"/>
  <c r="W6" i="1"/>
  <c r="V6" i="1"/>
  <c r="Q6" i="1"/>
  <c r="G6" i="1"/>
  <c r="F6" i="1"/>
  <c r="Z5" i="1"/>
  <c r="AA5" i="1" s="1"/>
  <c r="W5" i="1"/>
  <c r="V5" i="1"/>
  <c r="Q5" i="1"/>
  <c r="G5" i="1"/>
  <c r="F5" i="1"/>
  <c r="AA4" i="1"/>
  <c r="W4" i="1"/>
  <c r="V4" i="1"/>
  <c r="Q4" i="1"/>
  <c r="G4" i="1"/>
  <c r="F4" i="1"/>
  <c r="D67" i="6"/>
  <c r="D69" i="6" s="1"/>
  <c r="D71" i="6" s="1"/>
  <c r="D66" i="6"/>
  <c r="D68" i="6" s="1"/>
  <c r="D70" i="6" s="1"/>
  <c r="D65" i="6"/>
  <c r="D64" i="6"/>
  <c r="L66" i="6"/>
  <c r="M60" i="6"/>
  <c r="K64" i="6"/>
  <c r="I4" i="1" l="1"/>
  <c r="J4" i="1" s="1"/>
  <c r="I8" i="1"/>
  <c r="J8" i="1" s="1"/>
  <c r="M8" i="1" s="1"/>
  <c r="I5" i="1"/>
  <c r="J5" i="1" s="1"/>
  <c r="M5" i="1" s="1"/>
  <c r="I7" i="1"/>
  <c r="J7" i="1" s="1"/>
  <c r="K7" i="1" s="1"/>
  <c r="I9" i="1"/>
  <c r="J9" i="1" s="1"/>
  <c r="M9" i="1" s="1"/>
  <c r="I6" i="1"/>
  <c r="J6" i="1" s="1"/>
  <c r="M6" i="1" s="1"/>
  <c r="K94" i="6"/>
  <c r="D119" i="6"/>
  <c r="D122" i="6" s="1"/>
  <c r="D125" i="6" s="1"/>
  <c r="L67" i="6"/>
  <c r="D120" i="6"/>
  <c r="D123" i="6" s="1"/>
  <c r="D126" i="6" s="1"/>
  <c r="K4" i="1" l="1"/>
  <c r="M4" i="1"/>
  <c r="K5" i="1"/>
  <c r="K8" i="1"/>
  <c r="K6" i="1"/>
  <c r="M7" i="1"/>
  <c r="K9" i="1"/>
  <c r="D89" i="6"/>
  <c r="D91" i="6" s="1"/>
  <c r="D92" i="6" s="1"/>
  <c r="L55" i="6"/>
  <c r="L54" i="6"/>
  <c r="M42" i="6" l="1"/>
  <c r="L36" i="6"/>
  <c r="L51" i="6"/>
  <c r="M36" i="6"/>
  <c r="T34" i="6"/>
  <c r="T26" i="6"/>
  <c r="T18" i="6"/>
  <c r="L21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Susanne Schmidt</author>
    <author>tc={BC23984A-4BE5-DB42-8CB2-421621628373}</author>
    <author>tc={A973AB73-A4B2-DB42-8CE2-2E9D2BA6D327}</author>
    <author>tc={B2EEDDFE-EFB6-B841-B3B1-49218DCB8340}</author>
    <author>tc={D83D8722-287D-8543-91DC-DFD968583D4B}</author>
    <author>tc={4DF7EAEC-CD2F-EF4A-9BF0-F3F1E42E4442}</author>
    <author>tc={8B1BECD1-664B-894E-902F-58308D659DA9}</author>
    <author>tc={944B0A6E-7F35-8040-8354-541096ED2DBE}</author>
    <author>tc={009AF6C5-B9AC-7541-9E56-015D22C54F6F}</author>
    <author>tc={0F2B29B9-EE72-C54A-8714-498DD1A3C8E0}</author>
    <author>tc={3C0608B8-171F-064A-822A-A3CC6DDC9FC4}</author>
    <author>tc={4659E4E8-C0C9-CB4D-BEA9-CCB12CD16D5B}</author>
    <author>tc={B40E02FA-A395-684A-865E-E43D81BF9EF7}</author>
    <author>tc={8AB12162-2BF7-9849-9318-3D6AC8CBAB8F}</author>
    <author>tc={D578DC42-15AA-9242-8F7A-DCCCBD7DB327}</author>
    <author>tc={D9858DC7-D04C-4A4F-872C-0C59D675639A}</author>
    <author>tc={507182A8-A16E-3B46-A78B-C475F7E79FFC}</author>
    <author>tc={28910C3F-267C-EF48-8C2C-F6C895522D82}</author>
    <author>tc={E7A076DC-8E76-1148-951F-1F3AE0C081A3}</author>
    <author>tc={8ABD701E-78D0-4A47-8F33-59280C42BAAB}</author>
    <author>tc={C8D487C4-854D-254E-A24C-BB3F3463062E}</author>
    <author>tc={E68EDC32-0C11-F24F-BC92-6599E44DEE2B}</author>
    <author>tc={03DDDF21-1FDE-1A44-92CB-02C9D1E67681}</author>
    <author>tc={74D124C3-18A4-4549-83DD-7E733D9BD57D}</author>
    <author>tc={59162C1A-C9E9-6D46-9F9A-64B6BAFF2CAB}</author>
  </authors>
  <commentList>
    <comment ref="G3" authorId="0" shapeId="0" xr:uid="{1A930F59-A378-7844-9496-EBE49743B803}">
      <text>
        <r>
          <rPr>
            <b/>
            <sz val="10"/>
            <color rgb="FF000000"/>
            <rFont val="Tahoma"/>
            <family val="2"/>
          </rPr>
          <t>Susanne Schmidt: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used for clauclation of TOC_COD ...</t>
        </r>
      </text>
    </comment>
    <comment ref="J4" authorId="1" shapeId="0" xr:uid="{BC23984A-4BE5-DB42-8CB2-421621628373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7.5 g COD per g humic acid derived in SI, and on sheet calculating_COD in this file</t>
      </text>
    </comment>
    <comment ref="V4" authorId="0" shapeId="0" xr:uid="{AB0BD4DA-AAC9-EE43-9F42-A759E79D6735}">
      <text>
        <r>
          <rPr>
            <b/>
            <sz val="10"/>
            <color rgb="FF000000"/>
            <rFont val="Tahoma"/>
            <family val="2"/>
          </rPr>
          <t>Susanne Schmidt: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>multiply with COD Acetate , i.e. 1.07, divide by 1.88 as COD biomass, see SI</t>
        </r>
      </text>
    </comment>
    <comment ref="X4" authorId="2" shapeId="0" xr:uid="{A973AB73-A4B2-DB42-8CE2-2E9D2BA6D327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average of Di Lorenzo, Navel, Mermillod-Blondin</t>
      </text>
    </comment>
    <comment ref="AB4" authorId="3" shapeId="0" xr:uid="{B2EEDDFE-EFB6-B841-B3B1-49218DCB8340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Foulquier 2010 Relating</t>
      </text>
    </comment>
    <comment ref="AG4" authorId="4" shapeId="0" xr:uid="{D83D8722-287D-8543-91DC-DFD968583D4B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Equating organic carbon to biofilm, we used the growth rate measured by (Foulquier et al., 2010) of 0.35 µg C bacteria / day and using a biomass molar mass of 24.6 g/mol (see above), 1.05 mol COD/mol biomass (see above) this translates to 1.4939E-08 mol COD bacteria / day. Multiplying with an average COD bacterial dry mass of 1.0e-05 mol COD / L, yields 0.002 / day. Assuming that the maximum growth rate is 10 times as high, we set the the maximum growth rate of fauna on microorganisms to 0.02 / day.
Antwort:
    19.6.25 geändert, siehe SI</t>
      </text>
    </comment>
    <comment ref="J5" authorId="5" shapeId="0" xr:uid="{4DF7EAEC-CD2F-EF4A-9BF0-F3F1E42E4442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7.5 g COD per g humic acid derived in SI, and on sheet calculating_COD in this file</t>
      </text>
    </comment>
    <comment ref="V5" authorId="0" shapeId="0" xr:uid="{5D4A6E3D-EE8D-D54E-B68E-579F07A96DC7}">
      <text>
        <r>
          <rPr>
            <b/>
            <sz val="10"/>
            <color rgb="FF000000"/>
            <rFont val="Tahoma"/>
            <family val="2"/>
          </rPr>
          <t>Susanne Schmidt: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Multiplizieren mit COD Acetat g, also 1.07, dividieren durch 1.88 als COD Biomasse, seihe biochemsitry acetat.docx mit Crisitan
</t>
        </r>
      </text>
    </comment>
    <comment ref="X5" authorId="6" shapeId="0" xr:uid="{8B1BECD1-664B-894E-902F-58308D659DA9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average of Di Lorenzo, Navel, Mermillod-Blondin</t>
      </text>
    </comment>
    <comment ref="AB5" authorId="7" shapeId="0" xr:uid="{944B0A6E-7F35-8040-8354-541096ED2DBE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Foulquier 2010 Relating</t>
      </text>
    </comment>
    <comment ref="AG5" authorId="8" shapeId="0" xr:uid="{009AF6C5-B9AC-7541-9E56-015D22C54F6F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Equating organic carbon to biofilm, we used the growth rate measured by (Foulquier et al., 2010) of 0.35 µg C bacteria / day and using a biomass molar mass of 24.6 g/mol (see above), 1.05 mol COD/mol biomass (see above) this translates to 1.4939E-08 mol COD bacteria / day. Multiplying with an average COD bacterial dry mass of 1.0e-05 mol COD / L, yields 0.002 / day. Assuming that the maximum growth rate is 10 times as high, we set the the maximum growth rate of fauna on microorganisms to 0.02 / day.</t>
      </text>
    </comment>
    <comment ref="J6" authorId="9" shapeId="0" xr:uid="{0F2B29B9-EE72-C54A-8714-498DD1A3C8E0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7.5 g COD per g humic acid derived in SI, and on sheet calculating_COD in this file</t>
      </text>
    </comment>
    <comment ref="V6" authorId="0" shapeId="0" xr:uid="{4D0A5035-8B79-724A-BB91-721E43D498F1}">
      <text>
        <r>
          <rPr>
            <b/>
            <sz val="10"/>
            <color rgb="FF000000"/>
            <rFont val="Tahoma"/>
            <family val="2"/>
          </rPr>
          <t>Susanne Schmidt: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Multiplizieren mit COD Acetat g, also 1.07, dividieren durch 1.88 als COD Biomasse, seihe biochemsitry acetat.docx mit Crisitan
</t>
        </r>
      </text>
    </comment>
    <comment ref="X6" authorId="10" shapeId="0" xr:uid="{3C0608B8-171F-064A-822A-A3CC6DDC9FC4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average of Di Lorenzo, Navel, Mermillod-Blondin</t>
      </text>
    </comment>
    <comment ref="AB6" authorId="11" shapeId="0" xr:uid="{4659E4E8-C0C9-CB4D-BEA9-CCB12CD16D5B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Foulquier 2010 Relating</t>
      </text>
    </comment>
    <comment ref="AG6" authorId="12" shapeId="0" xr:uid="{B40E02FA-A395-684A-865E-E43D81BF9EF7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Equating organic carbon to biofilm, we used the growth rate measured by (Foulquier et al., 2010) of 0.35 µg C bacteria / day and using a biomass molar mass of 24.6 g/mol (see above), 1.05 mol COD/mol biomass (see above) this translates to 1.4939E-08 mol COD bacteria / day. Multiplying with an average COD bacterial dry mass of 1.0e-05 mol COD / L, yields 0.002 / day. Assuming that the maximum growth rate is 10 times as high, we set the the maximum growth rate of fauna on microorganisms to 0.02 / day.</t>
      </text>
    </comment>
    <comment ref="J7" authorId="13" shapeId="0" xr:uid="{8AB12162-2BF7-9849-9318-3D6AC8CBAB8F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7.5 g COD per g humic acid derived in SI, and on sheet calculating_COD in this file</t>
      </text>
    </comment>
    <comment ref="V7" authorId="0" shapeId="0" xr:uid="{DD360374-60A5-2640-9B10-44A556D83645}">
      <text>
        <r>
          <rPr>
            <b/>
            <sz val="10"/>
            <color rgb="FF000000"/>
            <rFont val="Tahoma"/>
            <family val="2"/>
          </rPr>
          <t>Susanne Schmidt: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Multiplizieren mit COD Acetat g, also 1.07, dividieren durch 1.88 als COD Biomasse, seihe biochemsitry acetat.docx mit Crisitan
</t>
        </r>
      </text>
    </comment>
    <comment ref="X7" authorId="14" shapeId="0" xr:uid="{D578DC42-15AA-9242-8F7A-DCCCBD7DB327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average of Di Lorenzo, Navel, Mermillod-Blondin</t>
      </text>
    </comment>
    <comment ref="AB7" authorId="15" shapeId="0" xr:uid="{D9858DC7-D04C-4A4F-872C-0C59D675639A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Foulquier 2010 Relating</t>
      </text>
    </comment>
    <comment ref="AG7" authorId="16" shapeId="0" xr:uid="{507182A8-A16E-3B46-A78B-C475F7E79FFC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Equating organic carbon to biofilm, we used the growth rate measured by (Foulquier et al., 2010) of 0.35 µg C bacteria / day and using a biomass molar mass of 24.6 g/mol (see above), 1.05 mol COD/mol biomass (see above) this translates to 1.4939E-08 mol COD bacteria / day. Multiplying with an average COD bacterial dry mass of 1.0e-05 mol COD / L, yields 0.002 / day. Assuming that the maximum growth rate is 10 times as high, we set the the maximum growth rate of fauna on microorganisms to 0.02 / day.</t>
      </text>
    </comment>
    <comment ref="J8" authorId="17" shapeId="0" xr:uid="{28910C3F-267C-EF48-8C2C-F6C895522D82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7.5 g COD per g humic acid derived in SI, and on sheet calculating_COD in this file</t>
      </text>
    </comment>
    <comment ref="V8" authorId="0" shapeId="0" xr:uid="{13B3DE81-C31E-BD43-B50B-1771E9709AE7}">
      <text>
        <r>
          <rPr>
            <b/>
            <sz val="10"/>
            <color rgb="FF000000"/>
            <rFont val="Tahoma"/>
            <family val="2"/>
          </rPr>
          <t>Susanne Schmidt: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Multiplizieren mit COD Acetat g, also 1.07, dividieren durch 1.88 als COD Biomasse, seihe biochemsitry acetat.docx mit Crisitan
</t>
        </r>
      </text>
    </comment>
    <comment ref="X8" authorId="18" shapeId="0" xr:uid="{E7A076DC-8E76-1148-951F-1F3AE0C081A3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average of Di Lorenzo, Navel, Mermillod-Blondin</t>
      </text>
    </comment>
    <comment ref="AB8" authorId="19" shapeId="0" xr:uid="{8ABD701E-78D0-4A47-8F33-59280C42BAAB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Foulquier 2010 Relating</t>
      </text>
    </comment>
    <comment ref="AG8" authorId="20" shapeId="0" xr:uid="{C8D487C4-854D-254E-A24C-BB3F3463062E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Equating organic carbon to biofilm, we used the growth rate measured by (Foulquier et al., 2010) of 0.35 µg C bacteria / day and using a biomass molar mass of 24.6 g/mol (see above), 1.05 mol COD/mol biomass (see above) this translates to 1.4939E-08 mol COD bacteria / day. Multiplying with an average COD bacterial dry mass of 1.0e-05 mol COD / L, yields 0.002 / day. Assuming that the maximum growth rate is 10 times as high, we set the the maximum growth rate of fauna on microorganisms to 0.02 / day.</t>
      </text>
    </comment>
    <comment ref="J9" authorId="21" shapeId="0" xr:uid="{E68EDC32-0C11-F24F-BC92-6599E44DEE2B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7.5 g COD per g humic acid derived in SI, and on sheet calculating_COD in this file</t>
      </text>
    </comment>
    <comment ref="V9" authorId="0" shapeId="0" xr:uid="{7487A520-4C1D-1B4C-B85A-1564A0ED432B}">
      <text>
        <r>
          <rPr>
            <b/>
            <sz val="10"/>
            <color rgb="FF000000"/>
            <rFont val="Tahoma"/>
            <family val="2"/>
          </rPr>
          <t>Susanne Schmidt: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Multiplizieren mit COD Acetat g, also 1.07, dividieren durch 1.88 als COD Biomasse, seihe biochemsitry acetat.docx mit Crisitan
</t>
        </r>
      </text>
    </comment>
    <comment ref="X9" authorId="22" shapeId="0" xr:uid="{03DDDF21-1FDE-1A44-92CB-02C9D1E67681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average of Di Lorenzo, Navel, Mermillod-Blondin</t>
      </text>
    </comment>
    <comment ref="AB9" authorId="23" shapeId="0" xr:uid="{74D124C3-18A4-4549-83DD-7E733D9BD57D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Foulquier 2010 Relating</t>
      </text>
    </comment>
    <comment ref="AG9" authorId="24" shapeId="0" xr:uid="{59162C1A-C9E9-6D46-9F9A-64B6BAFF2CAB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Equating organic carbon to biofilm, we used the growth rate measured by (Foulquier et al., 2010) of 0.35 µg C bacteria / day and using a biomass molar mass of 24.6 g/mol (see above), 1.05 mol COD/mol biomass (see above) this translates to 1.4939E-08 mol COD bacteria / day. Multiplying with an average COD bacterial dry mass of 1.0e-05 mol COD / L, yields 0.002 / day. Assuming that the maximum growth rate is 10 times as high, we set the the maximum growth rate of fauna on microorganisms to 0.02 / day.</t>
      </text>
    </comment>
  </commentList>
</comments>
</file>

<file path=xl/sharedStrings.xml><?xml version="1.0" encoding="utf-8"?>
<sst xmlns="http://schemas.openxmlformats.org/spreadsheetml/2006/main" count="256" uniqueCount="199">
  <si>
    <t>variable_parameter</t>
  </si>
  <si>
    <t>unit</t>
  </si>
  <si>
    <t>notes</t>
  </si>
  <si>
    <t>day</t>
  </si>
  <si>
    <t>dt</t>
  </si>
  <si>
    <t>depth of gw aquifer, in order to derive volume to which to relate input of moles</t>
  </si>
  <si>
    <t>aquifer_depth</t>
  </si>
  <si>
    <t>run</t>
  </si>
  <si>
    <t>m</t>
  </si>
  <si>
    <t>import_MO_het</t>
  </si>
  <si>
    <t>choose 1 for with fauna, or 0 for without fauna - for comparing scenarios</t>
  </si>
  <si>
    <t>scenario_with_1_or_without_0_fauna</t>
  </si>
  <si>
    <t>scenario_with_1_or_without_0_MO</t>
  </si>
  <si>
    <t>Thurman 1985 Fig. 4.1</t>
  </si>
  <si>
    <t>acetic_acids_fraction</t>
  </si>
  <si>
    <t>mortalityRate</t>
  </si>
  <si>
    <t>import_fauna</t>
  </si>
  <si>
    <t>yield_ac</t>
  </si>
  <si>
    <t>k_temp</t>
  </si>
  <si>
    <t>temperature at which lab measurements</t>
  </si>
  <si>
    <t>deg C</t>
  </si>
  <si>
    <t>K_ac</t>
  </si>
  <si>
    <t>K_MO_at_temp</t>
  </si>
  <si>
    <t xml:space="preserve">molCOD/L </t>
  </si>
  <si>
    <t>rMO_COD_uptake_h_at_lab_temperature</t>
  </si>
  <si>
    <t>rMO_COD_uptake_per_day_at_lab_temperature</t>
  </si>
  <si>
    <t>rFauna_MO_uptake_per_day_at_TEMP</t>
  </si>
  <si>
    <t>k1</t>
  </si>
  <si>
    <t>per day</t>
  </si>
  <si>
    <t>excretionRate</t>
  </si>
  <si>
    <t>/day</t>
  </si>
  <si>
    <t>TOC_mol_m2_yr_precipitation</t>
  </si>
  <si>
    <t>mol / m2 / year</t>
  </si>
  <si>
    <t># TOC 208 mmol / m^2 / yr in Plesne, 199 mmol / m^2 / yr in Certovo  mean(c(208, 199)) = 203.5; J. Kopaccek et al. 2008 Kopacek, J., Turek, J., Hejzlar, J., Santruckova, H., 2009. Canopy leaching of nutrients and metals in a mountain spruce forest. Atmospheric Environment 43, 5443–5453. https://doi.org/10.1016/j.atmosenv.2009.07.031</t>
  </si>
  <si>
    <t>factor_how_many_times_Detritus_compared_to_TOC</t>
  </si>
  <si>
    <t>time step</t>
  </si>
  <si>
    <t>molCOD/L at lab temperature</t>
  </si>
  <si>
    <t>yield_MO</t>
  </si>
  <si>
    <t>TOC_COD_mol_m2_yr_precipitation</t>
  </si>
  <si>
    <t>#I need Plesne preciptaiotn here, to deal with Kopacek TOC in precipitation, and that is ca. 1000 mm #mean of 1402, 1437 Kopacek et al. 2009 Canopy leaching</t>
  </si>
  <si>
    <t>carboxylic_acids_fraction</t>
  </si>
  <si>
    <t>https://en.wikipedia.org/wiki/Chemical_oxygen_demand</t>
  </si>
  <si>
    <t>formula</t>
  </si>
  <si>
    <t>a</t>
  </si>
  <si>
    <t>b</t>
  </si>
  <si>
    <t>c</t>
  </si>
  <si>
    <t>n</t>
  </si>
  <si>
    <t>C6H12O6N1</t>
  </si>
  <si>
    <t>g/mol</t>
  </si>
  <si>
    <t>COD [mol O2 per mol substrate]</t>
  </si>
  <si>
    <t>reculculation from 30 degree from Gerritse to 10 degree by factor 0.392 as in Schmidt 2018 - this is a rough estimate and therefore is not real-temperature-adjusted at this stage</t>
  </si>
  <si>
    <t xml:space="preserve"> this is a rough estimate and therefore is not real-temperature-adjusted at this stage</t>
  </si>
  <si>
    <t>average_precipitation_mm_yr</t>
  </si>
  <si>
    <t xml:space="preserve">mm /  year </t>
  </si>
  <si>
    <t>TOC_COD_mol_m3_precipitation</t>
  </si>
  <si>
    <t xml:space="preserve">#mol per  m^3 </t>
  </si>
  <si>
    <t>Detritus_COD_mol_m3_precipitation</t>
  </si>
  <si>
    <t>rMO_acetate_uptake_h_at_lab_temperature</t>
  </si>
  <si>
    <t>through soil passage, the TOC from precipitation is degraded, but detritus is mobilised ; assuming "factor_how_many_times_Detritus_compared_to_TOC" times as much detritus mobilized as TOC from preciptation</t>
  </si>
  <si>
    <t>temperature_scenario</t>
  </si>
  <si>
    <t>0 = actually measured data; any other number: increase of temperature by this value</t>
  </si>
  <si>
    <t>HMML</t>
  </si>
  <si>
    <t>factor_CC_MO</t>
  </si>
  <si>
    <t>factor_CC_fauna</t>
  </si>
  <si>
    <t>growth_model_MO</t>
  </si>
  <si>
    <t>growth_model_fauna</t>
  </si>
  <si>
    <t>molar mass g / mol</t>
  </si>
  <si>
    <t>Rate constant for bacterial uptake and oxidation of acetate Gerritse et al. (1992) ****, ASSUMING COD CAN BE DEGRADED LIKE ACETATE, which is an error-prone assumption</t>
  </si>
  <si>
    <t>microbe_loss_factor_when_no_fauna</t>
  </si>
  <si>
    <t>/(molCOD/L)/ day</t>
  </si>
  <si>
    <t>humic acid</t>
  </si>
  <si>
    <t>C9H9NO6, and an average mass of 227.172 g / mol (ID: 32820151; https://www.chemspider.com/Chemical-Structure.32820151.html</t>
  </si>
  <si>
    <t>i.e. 7.5 mole O2 for each mole organics</t>
  </si>
  <si>
    <t>acetate</t>
  </si>
  <si>
    <t>i.e. 2.25 mole O2 for each mole organics</t>
  </si>
  <si>
    <t xml:space="preserve"> C2H4O2N0</t>
  </si>
  <si>
    <r>
      <t>It was assumed that biomass can be summarized with an average composition oC</t>
    </r>
    <r>
      <rPr>
        <vertAlign val="subscript"/>
        <sz val="12"/>
        <color theme="1"/>
        <rFont val="Calibri"/>
        <family val="2"/>
        <scheme val="minor"/>
      </rPr>
      <t>1</t>
    </r>
    <r>
      <rPr>
        <sz val="12"/>
        <color theme="1"/>
        <rFont val="Calibri"/>
        <family val="2"/>
        <scheme val="minor"/>
      </rPr>
      <t xml:space="preserve"> H</t>
    </r>
    <r>
      <rPr>
        <vertAlign val="subscript"/>
        <sz val="12"/>
        <color theme="1"/>
        <rFont val="Calibri"/>
        <family val="2"/>
        <scheme val="minor"/>
      </rPr>
      <t>1.8</t>
    </r>
    <r>
      <rPr>
        <sz val="12"/>
        <color theme="1"/>
        <rFont val="Calibri"/>
        <family val="2"/>
        <scheme val="minor"/>
      </rPr>
      <t xml:space="preserve"> O</t>
    </r>
    <r>
      <rPr>
        <vertAlign val="subscript"/>
        <sz val="12"/>
        <color theme="1"/>
        <rFont val="Calibri"/>
        <family val="2"/>
        <scheme val="minor"/>
      </rPr>
      <t>0.5</t>
    </r>
    <r>
      <rPr>
        <sz val="12"/>
        <color theme="1"/>
        <rFont val="Calibri"/>
        <family val="2"/>
        <scheme val="minor"/>
      </rPr>
      <t xml:space="preserve"> N</t>
    </r>
    <r>
      <rPr>
        <vertAlign val="subscript"/>
        <sz val="12"/>
        <color theme="1"/>
        <rFont val="Calibri"/>
        <family val="2"/>
        <scheme val="minor"/>
      </rPr>
      <t>0.2</t>
    </r>
    <r>
      <rPr>
        <sz val="12"/>
        <color theme="1"/>
        <rFont val="Calibri"/>
        <family val="2"/>
        <scheme val="minor"/>
      </rPr>
      <t xml:space="preserve"> (Heijnen, 2006)</t>
    </r>
    <r>
      <rPr>
        <sz val="8"/>
        <color theme="1"/>
        <rFont val="Calibri"/>
        <family val="2"/>
        <scheme val="minor"/>
      </rPr>
      <t> </t>
    </r>
    <r>
      <rPr>
        <sz val="12"/>
        <color theme="1"/>
        <rFont val="Calibri"/>
        <family val="2"/>
        <scheme val="minor"/>
      </rPr>
      <t>. Thus, the stoichiometry for the complete oxidation of biomass was derived as C</t>
    </r>
    <r>
      <rPr>
        <vertAlign val="subscript"/>
        <sz val="12"/>
        <color theme="1"/>
        <rFont val="Calibri"/>
        <family val="2"/>
        <scheme val="minor"/>
      </rPr>
      <t>1</t>
    </r>
    <r>
      <rPr>
        <sz val="12"/>
        <color theme="1"/>
        <rFont val="Calibri"/>
        <family val="2"/>
        <scheme val="minor"/>
      </rPr>
      <t xml:space="preserve"> H</t>
    </r>
    <r>
      <rPr>
        <vertAlign val="subscript"/>
        <sz val="12"/>
        <color theme="1"/>
        <rFont val="Calibri"/>
        <family val="2"/>
        <scheme val="minor"/>
      </rPr>
      <t>1.8</t>
    </r>
    <r>
      <rPr>
        <sz val="12"/>
        <color theme="1"/>
        <rFont val="Calibri"/>
        <family val="2"/>
        <scheme val="minor"/>
      </rPr>
      <t xml:space="preserve"> O</t>
    </r>
    <r>
      <rPr>
        <vertAlign val="subscript"/>
        <sz val="12"/>
        <color theme="1"/>
        <rFont val="Calibri"/>
        <family val="2"/>
        <scheme val="minor"/>
      </rPr>
      <t>0.5</t>
    </r>
    <r>
      <rPr>
        <sz val="12"/>
        <color theme="1"/>
        <rFont val="Calibri"/>
        <family val="2"/>
        <scheme val="minor"/>
      </rPr>
      <t xml:space="preserve"> N</t>
    </r>
    <r>
      <rPr>
        <vertAlign val="subscript"/>
        <sz val="12"/>
        <color theme="1"/>
        <rFont val="Calibri"/>
        <family val="2"/>
        <scheme val="minor"/>
      </rPr>
      <t>0.2</t>
    </r>
    <r>
      <rPr>
        <sz val="12"/>
        <color theme="1"/>
        <rFont val="Calibri"/>
        <family val="2"/>
        <scheme val="minor"/>
      </rPr>
      <t xml:space="preserve"> + 1.45 O</t>
    </r>
    <r>
      <rPr>
        <vertAlign val="subscript"/>
        <sz val="12"/>
        <color theme="1"/>
        <rFont val="Calibri"/>
        <family val="2"/>
        <scheme val="minor"/>
      </rPr>
      <t>2</t>
    </r>
    <r>
      <rPr>
        <sz val="12"/>
        <color theme="1"/>
        <rFont val="Calibri"/>
        <family val="2"/>
        <scheme val="minor"/>
      </rPr>
      <t xml:space="preserve"> →  CO</t>
    </r>
    <r>
      <rPr>
        <vertAlign val="subscript"/>
        <sz val="12"/>
        <color theme="1"/>
        <rFont val="Calibri"/>
        <family val="2"/>
        <scheme val="minor"/>
      </rPr>
      <t>2</t>
    </r>
    <r>
      <rPr>
        <sz val="12"/>
        <color theme="1"/>
        <rFont val="Calibri"/>
        <family val="2"/>
        <scheme val="minor"/>
      </rPr>
      <t xml:space="preserve"> + 0.8 H</t>
    </r>
    <r>
      <rPr>
        <vertAlign val="subscript"/>
        <sz val="12"/>
        <color theme="1"/>
        <rFont val="Calibri"/>
        <family val="2"/>
        <scheme val="minor"/>
      </rPr>
      <t>2</t>
    </r>
    <r>
      <rPr>
        <sz val="12"/>
        <color theme="1"/>
        <rFont val="Calibri"/>
        <family val="2"/>
        <scheme val="minor"/>
      </rPr>
      <t>O + 0.2 HNO</t>
    </r>
    <r>
      <rPr>
        <vertAlign val="subscript"/>
        <sz val="12"/>
        <color theme="1"/>
        <rFont val="Calibri"/>
        <family val="2"/>
        <scheme val="minor"/>
      </rPr>
      <t>3</t>
    </r>
    <r>
      <rPr>
        <sz val="12"/>
        <color theme="1"/>
        <rFont val="Calibri"/>
        <family val="2"/>
        <scheme val="minor"/>
      </rPr>
      <t>. This means that 1.45 moles of O2 are needed for the oxidation of biomass, thus 1.45 g COD / g biomass</t>
    </r>
  </si>
  <si>
    <t xml:space="preserve">C1 H1.8 O0.5 N0.2 </t>
  </si>
  <si>
    <t>C9H9O6N1 + ((36+9-12-3)/4)O2 --&gt; 9CO2 + 3H2O + 1NH3</t>
  </si>
  <si>
    <t>C9H9O6N1 + 7.5 O2 --&gt; 9CO2 + 3H2O + 1NH3</t>
  </si>
  <si>
    <t>C9H9O6N1 + (9+9/4-12/4-3/4*1)O2 --&gt; 9CO2 + (9/2 - 3/2*1)H2O + 1NH3</t>
  </si>
  <si>
    <t>C2H4O2N0 + (2+4/4-3/4)O2 --&gt; 9CO2 + (4/2 - 3/2*1)H2O + 1NH3</t>
  </si>
  <si>
    <t>O</t>
  </si>
  <si>
    <t>C1 H1.8 O0.5 N0.2  + 1.05O2 --&gt; 1CO2 + .6H2O + .2NH3</t>
  </si>
  <si>
    <t>C1 H1.8 O0.5 N0.2  + (1+1.8/4 -  .5/2 -3/4*.2)O2 --&gt; 1CO2 + (1.8/2 - 3/2*.2)H2O + .2NH3</t>
  </si>
  <si>
    <r>
      <t>C1 H1.8 O0.5 N0.2  + 1.05O2 --&gt; 1CO2 + .6H2O + .2</t>
    </r>
    <r>
      <rPr>
        <sz val="12"/>
        <color rgb="FFFF0000"/>
        <rFont val="Calibri (Textkörper)"/>
      </rPr>
      <t>NH3</t>
    </r>
  </si>
  <si>
    <t>note</t>
  </si>
  <si>
    <t xml:space="preserve"> flux mole / m^2/year divided by (precipitatoin in L/m^2/year divided by 1000)</t>
  </si>
  <si>
    <t xml:space="preserve">  mol /  L</t>
  </si>
  <si>
    <t>TOC_COD_mol_per_L_precipitation</t>
  </si>
  <si>
    <t>TOC_mol_per_m3_precipitation</t>
  </si>
  <si>
    <t>molar mass</t>
  </si>
  <si>
    <t xml:space="preserve"> mol COD drymass_MO  mol COD acetate^-1</t>
  </si>
  <si>
    <r>
      <rPr>
        <b/>
        <sz val="12"/>
        <color theme="1"/>
        <rFont val="Calibri"/>
        <family val="2"/>
        <scheme val="minor"/>
      </rPr>
      <t>biomass</t>
    </r>
    <r>
      <rPr>
        <sz val="12"/>
        <color theme="1"/>
        <rFont val="Calibri"/>
        <family val="2"/>
        <scheme val="minor"/>
      </rPr>
      <t xml:space="preserve"> C5 H7 O2 N (Grady, 2011)</t>
    </r>
  </si>
  <si>
    <r>
      <t>Thus, the stoichiometry for the complete oxidation of biomass was derived as C5 H7 O2 N + 1.45 O</t>
    </r>
    <r>
      <rPr>
        <vertAlign val="subscript"/>
        <sz val="12"/>
        <color theme="1"/>
        <rFont val="Calibri"/>
        <family val="2"/>
        <scheme val="minor"/>
      </rPr>
      <t>2</t>
    </r>
    <r>
      <rPr>
        <sz val="12"/>
        <color theme="1"/>
        <rFont val="Calibri"/>
        <family val="2"/>
        <scheme val="minor"/>
      </rPr>
      <t xml:space="preserve"> →  CO</t>
    </r>
    <r>
      <rPr>
        <vertAlign val="subscript"/>
        <sz val="12"/>
        <color theme="1"/>
        <rFont val="Calibri"/>
        <family val="2"/>
        <scheme val="minor"/>
      </rPr>
      <t>2</t>
    </r>
    <r>
      <rPr>
        <sz val="12"/>
        <color theme="1"/>
        <rFont val="Calibri"/>
        <family val="2"/>
        <scheme val="minor"/>
      </rPr>
      <t xml:space="preserve"> + 0.8 H</t>
    </r>
    <r>
      <rPr>
        <vertAlign val="subscript"/>
        <sz val="12"/>
        <color theme="1"/>
        <rFont val="Calibri"/>
        <family val="2"/>
        <scheme val="minor"/>
      </rPr>
      <t>2</t>
    </r>
    <r>
      <rPr>
        <sz val="12"/>
        <color theme="1"/>
        <rFont val="Calibri"/>
        <family val="2"/>
        <scheme val="minor"/>
      </rPr>
      <t>O + 0.2 HNO</t>
    </r>
    <r>
      <rPr>
        <vertAlign val="subscript"/>
        <sz val="12"/>
        <color theme="1"/>
        <rFont val="Calibri"/>
        <family val="2"/>
        <scheme val="minor"/>
      </rPr>
      <t>3</t>
    </r>
    <r>
      <rPr>
        <sz val="12"/>
        <color theme="1"/>
        <rFont val="Calibri"/>
        <family val="2"/>
        <scheme val="minor"/>
      </rPr>
      <t>. This means that 1.45 moles of O2 are needed for the oxidation of biomass, thus 1.45 g COD / g biomass</t>
    </r>
  </si>
  <si>
    <t>C5 H7 O2 N  + (5+7/4 -  2/2 -3/2*1)O2 --&gt; 5CO2 + (7/2 - 3/2*1)H2O + 1NH3</t>
  </si>
  <si>
    <t>C5 H7 O2 N  + (5+7/4 -  4/4 -6/4)O2 --&gt; 5CO2 + (4/2*1)H2O + 1NH3</t>
  </si>
  <si>
    <t>C5 H7 O2 N  + (20/4 -3/4)O2 --&gt; 5CO2 + (4/2*1)H2O + 1NH3</t>
  </si>
  <si>
    <t>C5 H7 O2 N  + 17/4O2 --&gt; 5CO2 + 2H2O + 1NH3</t>
  </si>
  <si>
    <r>
      <t xml:space="preserve">C5 H7 O2 N  + </t>
    </r>
    <r>
      <rPr>
        <b/>
        <sz val="12"/>
        <color theme="1"/>
        <rFont val="Calibri"/>
        <family val="2"/>
        <scheme val="minor"/>
      </rPr>
      <t>4.25</t>
    </r>
    <r>
      <rPr>
        <sz val="12"/>
        <color theme="1"/>
        <rFont val="Calibri"/>
        <family val="2"/>
        <scheme val="minor"/>
      </rPr>
      <t>O2 --&gt; 5CO2 + 2H2O + 1NH3</t>
    </r>
  </si>
  <si>
    <t>molar weight</t>
  </si>
  <si>
    <t xml:space="preserve">g COD </t>
  </si>
  <si>
    <t>g COD / g biomass</t>
  </si>
  <si>
    <t>mortalityFraction_per_degree</t>
  </si>
  <si>
    <t>Navel 2011</t>
  </si>
  <si>
    <t>uptake by N. rhenorhodanensis</t>
  </si>
  <si>
    <t>7.5 ± 5.9</t>
  </si>
  <si>
    <t>mg OM / day / (g dry niphargid)</t>
  </si>
  <si>
    <t>min</t>
  </si>
  <si>
    <t xml:space="preserve">max </t>
  </si>
  <si>
    <t>mean</t>
  </si>
  <si>
    <t>range</t>
  </si>
  <si>
    <t>mean HA</t>
  </si>
  <si>
    <t>mol OM_HA / day / (g dry niphargid)</t>
  </si>
  <si>
    <t>range HA</t>
  </si>
  <si>
    <t>mol OM_HA / day / (mol dry niphargid)</t>
  </si>
  <si>
    <t>mol COD of OM_HA  / day / (mol COD of dry niphargid)</t>
  </si>
  <si>
    <t xml:space="preserve">The carbon ingestion rates measured by Di Lorenzo et al. (2025) were 0.33 and 0.73 μg C / ind / d. Assuming an average individual dry mass of 0.0005 mg (Di Lorenzo et al., 2025) and an average abundance of 1 such individual per L, i.e. 0.0000005 g / L, this translates to </t>
  </si>
  <si>
    <t>μg C / ind / d</t>
  </si>
  <si>
    <t>mol C / ind / d</t>
  </si>
  <si>
    <t>mol C / (g dry mass   )/ d</t>
  </si>
  <si>
    <t>mol C / (g dry mass )/ d</t>
  </si>
  <si>
    <t>mol C / (mol dry mass ) / d</t>
  </si>
  <si>
    <t>mol COD / (mol dry mass COD ) / d</t>
  </si>
  <si>
    <t>g C / ind / d</t>
  </si>
  <si>
    <t>average dry mass COD / L in Fulda Aue</t>
  </si>
  <si>
    <t>average mol COD / L/ d</t>
  </si>
  <si>
    <t>Ks mol COD / L</t>
  </si>
  <si>
    <r>
      <t xml:space="preserve">Equating organic carbon to biofilm, we used the growth rate measured by (Foulquier et al., 2010) of 0.35  and using </t>
    </r>
    <r>
      <rPr>
        <sz val="12"/>
        <color theme="1"/>
        <rFont val="Calibri"/>
        <family val="2"/>
        <scheme val="minor"/>
      </rPr>
      <t xml:space="preserve">a biomass molar mass of 24.6 g/mol (see above), 1.05 mol COD/mol biomass (see above) this translates to </t>
    </r>
  </si>
  <si>
    <t>µg C bacteria / day</t>
  </si>
  <si>
    <t>mol C bacteria / day</t>
  </si>
  <si>
    <t>mol COD bacteria / day</t>
  </si>
  <si>
    <t>average COD bacterial dry mass of  mol COD / L FuldaAue</t>
  </si>
  <si>
    <t>/ day</t>
  </si>
  <si>
    <t>Mermillod-Blondin 2025</t>
  </si>
  <si>
    <t>% N per dry mass</t>
  </si>
  <si>
    <t xml:space="preserve"> P. cantabricus,</t>
  </si>
  <si>
    <t xml:space="preserve">P. meridianus, </t>
  </si>
  <si>
    <t xml:space="preserve">P. valdensis </t>
  </si>
  <si>
    <t xml:space="preserve">P. banyulensis, </t>
  </si>
  <si>
    <t xml:space="preserve">mean C:N ratios </t>
  </si>
  <si>
    <t xml:space="preserve">mean C:N ratios of the sedimentary biofilm </t>
  </si>
  <si>
    <t xml:space="preserve">sd C:N ratios of the sedimentary biofilm </t>
  </si>
  <si>
    <t>sd C:N ratios of CPOM</t>
  </si>
  <si>
    <r>
      <t xml:space="preserve"> The mean C:N ratios of CPOM ( </t>
    </r>
    <r>
      <rPr>
        <sz val="11"/>
        <color theme="1"/>
        <rFont val="STIXGeneral"/>
      </rPr>
      <t xml:space="preserve">± </t>
    </r>
    <r>
      <rPr>
        <sz val="11"/>
        <color theme="1"/>
        <rFont val="AGaramondPro"/>
      </rPr>
      <t xml:space="preserve">) and FPOM ( </t>
    </r>
    <r>
      <rPr>
        <sz val="11"/>
        <color theme="1"/>
        <rFont val="STIXGeneral"/>
      </rPr>
      <t xml:space="preserve">± </t>
    </r>
    <r>
      <rPr>
        <sz val="11"/>
        <color theme="1"/>
        <rFont val="AGaramondPro"/>
      </rPr>
      <t xml:space="preserve">) were comparable but they were markedly higher than those measured on sedimentary biofilm and isopods. </t>
    </r>
  </si>
  <si>
    <t>sd C:N ratios of FPOM</t>
  </si>
  <si>
    <t>mean C:N ratios of FPOM</t>
  </si>
  <si>
    <t>FPOM processing was lower, lets focus on CPOM</t>
  </si>
  <si>
    <t>average (Di Lorenzo, Navel, Mermillod-Blondin) mol COD / (mol dry mass COD ) / d</t>
  </si>
  <si>
    <t>multiplied with max measured biomass</t>
  </si>
  <si>
    <t xml:space="preserve">mean indi- vidual dry mass of groundwater species:  mg) </t>
  </si>
  <si>
    <t>mean CPOM processing rate mol C / mg N fauna / d ( SI)</t>
  </si>
  <si>
    <t>meann bact processing rate mol C / mg C fauna / d ( SI)</t>
  </si>
  <si>
    <r>
      <t xml:space="preserve">Taking the approximate average of </t>
    </r>
    <r>
      <rPr>
        <sz val="12"/>
        <color theme="1"/>
        <rFont val="Calibri"/>
        <family val="2"/>
        <scheme val="minor"/>
      </rPr>
      <t xml:space="preserve">0.1 and 0.3 </t>
    </r>
    <r>
      <rPr>
        <sz val="12"/>
        <color rgb="FF000000"/>
        <rFont val="Calibri"/>
        <family val="2"/>
        <scheme val="minor"/>
      </rPr>
      <t xml:space="preserve">mol COD carbon / (mol COD dry mass) / d from the Di Lorenzo study, the average 0.00012 mol biofilm COD / mol fauna COD / d. </t>
    </r>
  </si>
  <si>
    <r>
      <t xml:space="preserve">(Mermillod-Blondin et al., 2025), and </t>
    </r>
    <r>
      <rPr>
        <sz val="12"/>
        <color theme="1"/>
        <rFont val="Calibri"/>
        <family val="2"/>
        <scheme val="minor"/>
      </rPr>
      <t xml:space="preserve">0.0008 </t>
    </r>
    <r>
      <rPr>
        <sz val="12"/>
        <color rgb="FF000000"/>
        <rFont val="Calibri"/>
        <family val="2"/>
        <scheme val="minor"/>
      </rPr>
      <t xml:space="preserve">mol COD OM / day / (mol COD dry niphargid) </t>
    </r>
  </si>
  <si>
    <t xml:space="preserve">mol COD carbon / (mol COD dry mass) / d </t>
  </si>
  <si>
    <t>max_t</t>
  </si>
  <si>
    <r>
      <rPr>
        <b/>
        <sz val="12"/>
        <color theme="1"/>
        <rFont val="Calibri"/>
        <family val="2"/>
        <scheme val="minor"/>
      </rPr>
      <t>biomass</t>
    </r>
    <r>
      <rPr>
        <sz val="12"/>
        <color theme="1"/>
        <rFont val="Calibri"/>
        <family val="2"/>
        <scheme val="minor"/>
      </rPr>
      <t xml:space="preserve"> C1 H1.8 O0.5 N0.2 (Heijnen, 2006),   (Heijnen book chapter in Basic Biotechnology; Stouthamer 1979) </t>
    </r>
  </si>
  <si>
    <t xml:space="preserve">g/mol </t>
  </si>
  <si>
    <t xml:space="preserve"> / d, i.e. growth</t>
  </si>
  <si>
    <t>min CPOM processing rate mg C / mg N fauna / d</t>
  </si>
  <si>
    <t xml:space="preserve">max CPOM processing rate mg C / mg N fauna / d </t>
  </si>
  <si>
    <t>min CPOM processing rate mol C / mg N fauna / d</t>
  </si>
  <si>
    <t>max CPOM processing rate mol C / mg N fauna / d</t>
  </si>
  <si>
    <t>min CPOM processing rate mol C / mg C fauna / d</t>
  </si>
  <si>
    <t>max CPOM processing rate mol C / mg C fauna / d</t>
  </si>
  <si>
    <t>min CPOM processing rate mol C / mol C fauna / d</t>
  </si>
  <si>
    <t>max CPOM processing rate mol C / mol C fauna / d</t>
  </si>
  <si>
    <t>min CPOM COD processing rate mol C / mol COD fauna / d</t>
  </si>
  <si>
    <t>max CPOM COD processing rate mol C / mol COD fauna / d</t>
  </si>
  <si>
    <t>mean microbial processing rate mg C / mg N fauna / d  ( SI table)</t>
  </si>
  <si>
    <t>mean MO processing rate mol C / mol C fauna / d ( SI)</t>
  </si>
  <si>
    <t>mean MO COD processing rate mol C / mol COD fauna / d (SI)</t>
  </si>
  <si>
    <t xml:space="preserve"> Assuming an average individual dry mass of 0.0005 mg (Di Lorenzo et al., 2025) and an average abundance of 1 such individual per L, i.e. 0.0000005 g / L, assuming 24.6 g / mol for biomass (see above, this can be expressed as 2.03E-10 mol / L faunal dry mass present in the aquifer.</t>
  </si>
  <si>
    <t xml:space="preserve">but Grady says 1.4 g COD / g biomass. So that is ox to Nitrate ?! </t>
  </si>
  <si>
    <t xml:space="preserve"> globally, average of for renewable groundwater (Abbott et al. 2019)</t>
  </si>
  <si>
    <t xml:space="preserve">km3 </t>
  </si>
  <si>
    <t>L</t>
  </si>
  <si>
    <t>difference between reference and +3deg C in the River zone after 3.5 years,</t>
  </si>
  <si>
    <t>mol / L / 3.5 years</t>
  </si>
  <si>
    <t>mol / L / year</t>
  </si>
  <si>
    <t>mol / year</t>
  </si>
  <si>
    <t>not degraded by groundwater ecosystem</t>
  </si>
  <si>
    <t xml:space="preserve"> this translates to 1.81E+04 t BOC / year. This is the additional load of COD that drinking water production needs to reduce globally under a +3°C scenario when and if groundwater fauna has become extinct.</t>
  </si>
  <si>
    <t xml:space="preserve">g / mol </t>
  </si>
  <si>
    <t>molar weight of humic acid (see above)</t>
  </si>
  <si>
    <t>g / year</t>
  </si>
  <si>
    <t>kg / year</t>
  </si>
  <si>
    <t>t/ year</t>
  </si>
  <si>
    <t>difference between reference and +3deg C in the River zone per  year,</t>
  </si>
  <si>
    <t>2 mol COD / mol acetate. 64 g COD / 60 g acetate, d.h. 1.067 g COD / g acetate</t>
  </si>
  <si>
    <t>per h</t>
  </si>
  <si>
    <t>assuming acetate makes up 1 % of carboxylic acids</t>
  </si>
  <si>
    <t>in NPZD (Soetaert et al.) no import</t>
  </si>
  <si>
    <t>gdrymass_MO  gacetate; Gerritse et al. (1992): 10.6 g- mol-1, d.h. 10.6/24.6 mol biomass / mol acetate - dry? "Expressed as grams of cell carbon produced per mole of carbon substrate consumed." This was multiplied with 1.07 mol COD / mol biomass and divided by 2 mol COD / mol acetate</t>
  </si>
  <si>
    <t xml:space="preserve"> p. 1468 in Gerritse: 4.3 microM;  i.e. mol / L!,  mol acetate, i.e. multiply with 1.07 to get mol COD</t>
  </si>
  <si>
    <t xml:space="preserve">now same as microbes. Alternatively , 0.1 as in Lindeman, but thats less. This is dry mass </t>
  </si>
  <si>
    <t xml:space="preserve"> since it is not easy to extrapolate the parameters from LT50 curves, and since they are often not provided in the literature, very roughly let's assume linear response.</t>
  </si>
  <si>
    <t>Thus: 100% at 12 degrees, between 50 and 100% at 16 degrees, between 0 and50% at 20 degrees (Brielmann 2011). Assuming that half of the fauna population behavoes like amphipods and half like asellids, 100% survival at 12 degrees, (75% survival at 16 degrees,) 25 % at 20 degrees. Taking the endpoint 20 degrees, 0.25 of the population survives aafter an increase by 8 degrees. This means that 0.75 have died. Thus , for each degree of increase, 0.75/8 = 0.09375 , roughly 1 % of the individuals die.    above or below 10 degree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</si>
</sst>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19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sz val="12"/>
      <name val="Calibri"/>
      <family val="2"/>
      <scheme val="minor"/>
    </font>
    <font>
      <sz val="12"/>
      <color theme="1"/>
      <name val="Times New Roman"/>
      <family val="1"/>
    </font>
    <font>
      <u/>
      <sz val="12"/>
      <color theme="10"/>
      <name val="Calibri"/>
      <family val="2"/>
      <scheme val="minor"/>
    </font>
    <font>
      <sz val="12"/>
      <color rgb="FFFF0000"/>
      <name val="Calibri (Textkörper)"/>
    </font>
    <font>
      <sz val="12"/>
      <color theme="0" tint="-0.249977111117893"/>
      <name val="Calibri"/>
      <family val="2"/>
      <scheme val="minor"/>
    </font>
    <font>
      <vertAlign val="subscript"/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color theme="1"/>
      <name val="Times New Roman"/>
      <family val="1"/>
    </font>
    <font>
      <sz val="10"/>
      <color rgb="FF000000"/>
      <name val="Calibri"/>
      <family val="2"/>
    </font>
    <font>
      <sz val="12"/>
      <color theme="0" tint="-0.14999847407452621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theme="1"/>
      <name val="AGaramondPro"/>
    </font>
    <font>
      <sz val="11"/>
      <color theme="1"/>
      <name val="STIXGeneral"/>
    </font>
    <font>
      <sz val="12"/>
      <color rgb="FFCCCCCC"/>
      <name val="Menlo"/>
      <family val="2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0" fontId="0" fillId="2" borderId="0" xfId="0" applyFill="1"/>
    <xf numFmtId="0" fontId="5" fillId="0" borderId="0" xfId="0" applyFont="1"/>
    <xf numFmtId="0" fontId="6" fillId="0" borderId="0" xfId="0" applyFont="1" applyAlignment="1">
      <alignment vertical="center"/>
    </xf>
    <xf numFmtId="0" fontId="7" fillId="0" borderId="0" xfId="1"/>
    <xf numFmtId="0" fontId="9" fillId="0" borderId="0" xfId="0" applyFont="1"/>
    <xf numFmtId="0" fontId="11" fillId="0" borderId="0" xfId="0" applyFont="1" applyAlignment="1">
      <alignment vertical="center"/>
    </xf>
    <xf numFmtId="0" fontId="12" fillId="0" borderId="0" xfId="0" applyFont="1"/>
    <xf numFmtId="2" fontId="0" fillId="0" borderId="0" xfId="0" applyNumberFormat="1"/>
    <xf numFmtId="164" fontId="0" fillId="0" borderId="0" xfId="0" applyNumberFormat="1"/>
    <xf numFmtId="0" fontId="0" fillId="0" borderId="0" xfId="0" applyAlignment="1">
      <alignment vertical="center"/>
    </xf>
    <xf numFmtId="0" fontId="14" fillId="0" borderId="0" xfId="0" applyFont="1"/>
    <xf numFmtId="11" fontId="0" fillId="0" borderId="0" xfId="0" applyNumberFormat="1"/>
    <xf numFmtId="0" fontId="15" fillId="0" borderId="0" xfId="0" applyFont="1"/>
    <xf numFmtId="0" fontId="15" fillId="0" borderId="0" xfId="0" applyFont="1" applyAlignment="1">
      <alignment vertical="center"/>
    </xf>
    <xf numFmtId="0" fontId="16" fillId="0" borderId="0" xfId="0" applyFont="1"/>
    <xf numFmtId="0" fontId="0" fillId="0" borderId="1" xfId="0" applyBorder="1"/>
    <xf numFmtId="0" fontId="18" fillId="0" borderId="0" xfId="0" applyFont="1"/>
    <xf numFmtId="0" fontId="12" fillId="0" borderId="0" xfId="0" applyFont="1" applyAlignment="1">
      <alignment horizontal="justify" vertical="center"/>
    </xf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10</xdr:col>
      <xdr:colOff>241300</xdr:colOff>
      <xdr:row>15</xdr:row>
      <xdr:rowOff>141857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ED756F8C-5C29-BE05-7C2A-E6A8D01FA9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5500" y="203200"/>
          <a:ext cx="7772400" cy="2986657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Schmidt Isabel Susanne" id="{FE8B650B-F8E4-BC41-8B83-E1DC95C47930}" userId="S::susanne.schmidt@hbu.cas.cz::f37ea2e0-650b-40d4-8e86-e478cdc04071" providerId="AD"/>
</personList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J4" dT="2025-06-02T13:55:05.15" personId="{FE8B650B-F8E4-BC41-8B83-E1DC95C47930}" id="{BC23984A-4BE5-DB42-8CB2-421621628373}">
    <text>7.5 g COD per g humic acid derived in SI, and on sheet calculating_COD in this file</text>
  </threadedComment>
  <threadedComment ref="X4" dT="2025-06-15T11:12:50.61" personId="{FE8B650B-F8E4-BC41-8B83-E1DC95C47930}" id="{A973AB73-A4B2-DB42-8CE2-2E9D2BA6D327}">
    <text>average of Di Lorenzo, Navel, Mermillod-Blondin</text>
  </threadedComment>
  <threadedComment ref="AB4" dT="2025-06-07T18:46:12.83" personId="{FE8B650B-F8E4-BC41-8B83-E1DC95C47930}" id="{B2EEDDFE-EFB6-B841-B3B1-49218DCB8340}">
    <text>Foulquier 2010 Relating</text>
  </threadedComment>
  <threadedComment ref="AG4" dT="2025-06-15T10:42:48.50" personId="{FE8B650B-F8E4-BC41-8B83-E1DC95C47930}" id="{D83D8722-287D-8543-91DC-DFD968583D4B}">
    <text>Equating organic carbon to biofilm, we used the growth rate measured by (Foulquier et al., 2010) of 0.35 µg C bacteria / day and using a biomass molar mass of 24.6 g/mol (see above), 1.05 mol COD/mol biomass (see above) this translates to 1.4939E-08 mol COD bacteria / day. Multiplying with an average COD bacterial dry mass of 1.0e-05 mol COD / L, yields 0.002 / day. Assuming that the maximum growth rate is 10 times as high, we set the the maximum growth rate of fauna on microorganisms to 0.02 / day.</text>
  </threadedComment>
  <threadedComment ref="AG4" dT="2025-06-20T08:24:23.10" personId="{FE8B650B-F8E4-BC41-8B83-E1DC95C47930}" id="{D5A6F296-99E3-944D-9E17-1BB8F5BD2616}" parentId="{D83D8722-287D-8543-91DC-DFD968583D4B}">
    <text>19.6.25 geändert, siehe SI</text>
  </threadedComment>
  <threadedComment ref="J5" dT="2025-06-02T13:55:05.15" personId="{FE8B650B-F8E4-BC41-8B83-E1DC95C47930}" id="{4DF7EAEC-CD2F-EF4A-9BF0-F3F1E42E4442}">
    <text>7.5 g COD per g humic acid derived in SI, and on sheet calculating_COD in this file</text>
  </threadedComment>
  <threadedComment ref="X5" dT="2025-06-15T11:12:50.61" personId="{FE8B650B-F8E4-BC41-8B83-E1DC95C47930}" id="{8B1BECD1-664B-894E-902F-58308D659DA9}">
    <text>average of Di Lorenzo, Navel, Mermillod-Blondin</text>
  </threadedComment>
  <threadedComment ref="AB5" dT="2025-06-07T18:46:12.83" personId="{FE8B650B-F8E4-BC41-8B83-E1DC95C47930}" id="{944B0A6E-7F35-8040-8354-541096ED2DBE}">
    <text>Foulquier 2010 Relating</text>
  </threadedComment>
  <threadedComment ref="AG5" dT="2025-06-15T10:42:48.50" personId="{FE8B650B-F8E4-BC41-8B83-E1DC95C47930}" id="{009AF6C5-B9AC-7541-9E56-015D22C54F6F}">
    <text>Equating organic carbon to biofilm, we used the growth rate measured by (Foulquier et al., 2010) of 0.35 µg C bacteria / day and using a biomass molar mass of 24.6 g/mol (see above), 1.05 mol COD/mol biomass (see above) this translates to 1.4939E-08 mol COD bacteria / day. Multiplying with an average COD bacterial dry mass of 1.0e-05 mol COD / L, yields 0.002 / day. Assuming that the maximum growth rate is 10 times as high, we set the the maximum growth rate of fauna on microorganisms to 0.02 / day.</text>
  </threadedComment>
  <threadedComment ref="J6" dT="2025-06-02T13:55:05.15" personId="{FE8B650B-F8E4-BC41-8B83-E1DC95C47930}" id="{0F2B29B9-EE72-C54A-8714-498DD1A3C8E0}">
    <text>7.5 g COD per g humic acid derived in SI, and on sheet calculating_COD in this file</text>
  </threadedComment>
  <threadedComment ref="X6" dT="2025-06-15T11:12:50.61" personId="{FE8B650B-F8E4-BC41-8B83-E1DC95C47930}" id="{3C0608B8-171F-064A-822A-A3CC6DDC9FC4}">
    <text>average of Di Lorenzo, Navel, Mermillod-Blondin</text>
  </threadedComment>
  <threadedComment ref="AB6" dT="2025-06-07T18:46:12.83" personId="{FE8B650B-F8E4-BC41-8B83-E1DC95C47930}" id="{4659E4E8-C0C9-CB4D-BEA9-CCB12CD16D5B}">
    <text>Foulquier 2010 Relating</text>
  </threadedComment>
  <threadedComment ref="AG6" dT="2025-06-15T10:42:48.50" personId="{FE8B650B-F8E4-BC41-8B83-E1DC95C47930}" id="{B40E02FA-A395-684A-865E-E43D81BF9EF7}">
    <text>Equating organic carbon to biofilm, we used the growth rate measured by (Foulquier et al., 2010) of 0.35 µg C bacteria / day and using a biomass molar mass of 24.6 g/mol (see above), 1.05 mol COD/mol biomass (see above) this translates to 1.4939E-08 mol COD bacteria / day. Multiplying with an average COD bacterial dry mass of 1.0e-05 mol COD / L, yields 0.002 / day. Assuming that the maximum growth rate is 10 times as high, we set the the maximum growth rate of fauna on microorganisms to 0.02 / day.</text>
  </threadedComment>
  <threadedComment ref="J7" dT="2025-06-02T13:55:05.15" personId="{FE8B650B-F8E4-BC41-8B83-E1DC95C47930}" id="{8AB12162-2BF7-9849-9318-3D6AC8CBAB8F}">
    <text>7.5 g COD per g humic acid derived in SI, and on sheet calculating_COD in this file</text>
  </threadedComment>
  <threadedComment ref="X7" dT="2025-06-15T11:12:50.61" personId="{FE8B650B-F8E4-BC41-8B83-E1DC95C47930}" id="{D578DC42-15AA-9242-8F7A-DCCCBD7DB327}">
    <text>average of Di Lorenzo, Navel, Mermillod-Blondin</text>
  </threadedComment>
  <threadedComment ref="AB7" dT="2025-06-07T18:46:12.83" personId="{FE8B650B-F8E4-BC41-8B83-E1DC95C47930}" id="{D9858DC7-D04C-4A4F-872C-0C59D675639A}">
    <text>Foulquier 2010 Relating</text>
  </threadedComment>
  <threadedComment ref="AG7" dT="2025-06-15T10:42:48.50" personId="{FE8B650B-F8E4-BC41-8B83-E1DC95C47930}" id="{507182A8-A16E-3B46-A78B-C475F7E79FFC}">
    <text>Equating organic carbon to biofilm, we used the growth rate measured by (Foulquier et al., 2010) of 0.35 µg C bacteria / day and using a biomass molar mass of 24.6 g/mol (see above), 1.05 mol COD/mol biomass (see above) this translates to 1.4939E-08 mol COD bacteria / day. Multiplying with an average COD bacterial dry mass of 1.0e-05 mol COD / L, yields 0.002 / day. Assuming that the maximum growth rate is 10 times as high, we set the the maximum growth rate of fauna on microorganisms to 0.02 / day.</text>
  </threadedComment>
  <threadedComment ref="J8" dT="2025-06-02T13:55:05.15" personId="{FE8B650B-F8E4-BC41-8B83-E1DC95C47930}" id="{28910C3F-267C-EF48-8C2C-F6C895522D82}">
    <text>7.5 g COD per g humic acid derived in SI, and on sheet calculating_COD in this file</text>
  </threadedComment>
  <threadedComment ref="X8" dT="2025-06-15T11:12:50.61" personId="{FE8B650B-F8E4-BC41-8B83-E1DC95C47930}" id="{E7A076DC-8E76-1148-951F-1F3AE0C081A3}">
    <text>average of Di Lorenzo, Navel, Mermillod-Blondin</text>
  </threadedComment>
  <threadedComment ref="AB8" dT="2025-06-07T18:46:12.83" personId="{FE8B650B-F8E4-BC41-8B83-E1DC95C47930}" id="{8ABD701E-78D0-4A47-8F33-59280C42BAAB}">
    <text>Foulquier 2010 Relating</text>
  </threadedComment>
  <threadedComment ref="AG8" dT="2025-06-15T10:42:48.50" personId="{FE8B650B-F8E4-BC41-8B83-E1DC95C47930}" id="{C8D487C4-854D-254E-A24C-BB3F3463062E}">
    <text>Equating organic carbon to biofilm, we used the growth rate measured by (Foulquier et al., 2010) of 0.35 µg C bacteria / day and using a biomass molar mass of 24.6 g/mol (see above), 1.05 mol COD/mol biomass (see above) this translates to 1.4939E-08 mol COD bacteria / day. Multiplying with an average COD bacterial dry mass of 1.0e-05 mol COD / L, yields 0.002 / day. Assuming that the maximum growth rate is 10 times as high, we set the the maximum growth rate of fauna on microorganisms to 0.02 / day.</text>
  </threadedComment>
  <threadedComment ref="J9" dT="2025-06-02T13:55:05.15" personId="{FE8B650B-F8E4-BC41-8B83-E1DC95C47930}" id="{E68EDC32-0C11-F24F-BC92-6599E44DEE2B}">
    <text>7.5 g COD per g humic acid derived in SI, and on sheet calculating_COD in this file</text>
  </threadedComment>
  <threadedComment ref="X9" dT="2025-06-15T11:12:50.61" personId="{FE8B650B-F8E4-BC41-8B83-E1DC95C47930}" id="{03DDDF21-1FDE-1A44-92CB-02C9D1E67681}">
    <text>average of Di Lorenzo, Navel, Mermillod-Blondin</text>
  </threadedComment>
  <threadedComment ref="AB9" dT="2025-06-07T18:46:12.83" personId="{FE8B650B-F8E4-BC41-8B83-E1DC95C47930}" id="{74D124C3-18A4-4549-83DD-7E733D9BD57D}">
    <text>Foulquier 2010 Relating</text>
  </threadedComment>
  <threadedComment ref="AG9" dT="2025-06-15T10:42:48.50" personId="{FE8B650B-F8E4-BC41-8B83-E1DC95C47930}" id="{59162C1A-C9E9-6D46-9F9A-64B6BAFF2CAB}">
    <text>Equating organic carbon to biofilm, we used the growth rate measured by (Foulquier et al., 2010) of 0.35 µg C bacteria / day and using a biomass molar mass of 24.6 g/mol (see above), 1.05 mol COD/mol biomass (see above) this translates to 1.4939E-08 mol COD bacteria / day. Multiplying with an average COD bacterial dry mass of 1.0e-05 mol COD / L, yields 0.002 / day. Assuming that the maximum growth rate is 10 times as high, we set the the maximum growth rate of fauna on microorganisms to 0.02 / day.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www.chemspider.com/Chemical-Structure.32820151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7B919E-F4BE-8A4F-9679-A3F32BFB830E}">
  <dimension ref="A1:AL9"/>
  <sheetViews>
    <sheetView tabSelected="1" workbookViewId="0">
      <pane xSplit="2" ySplit="3" topLeftCell="X4" activePane="bottomRight" state="frozen"/>
      <selection pane="topRight" activeCell="C1" sqref="C1"/>
      <selection pane="bottomLeft" activeCell="A4" sqref="A4"/>
      <selection pane="bottomRight" activeCell="AN1" sqref="AN1"/>
    </sheetView>
  </sheetViews>
  <sheetFormatPr baseColWidth="10" defaultColWidth="10.6640625" defaultRowHeight="16"/>
  <cols>
    <col min="1" max="1" width="12.1640625" bestFit="1" customWidth="1"/>
    <col min="10" max="10" width="11.1640625" bestFit="1" customWidth="1"/>
    <col min="11" max="11" width="11.1640625" customWidth="1"/>
    <col min="13" max="13" width="11.1640625" bestFit="1" customWidth="1"/>
    <col min="23" max="24" width="12.1640625" bestFit="1" customWidth="1"/>
    <col min="35" max="35" width="12.1640625" bestFit="1" customWidth="1"/>
  </cols>
  <sheetData>
    <row r="1" spans="1:38">
      <c r="A1" t="s">
        <v>2</v>
      </c>
      <c r="C1" t="s">
        <v>35</v>
      </c>
      <c r="E1" t="s">
        <v>60</v>
      </c>
      <c r="F1" t="s">
        <v>39</v>
      </c>
      <c r="G1" t="s">
        <v>33</v>
      </c>
      <c r="M1" t="s">
        <v>58</v>
      </c>
      <c r="O1" t="s">
        <v>5</v>
      </c>
      <c r="P1" t="s">
        <v>13</v>
      </c>
      <c r="Q1" t="s">
        <v>192</v>
      </c>
      <c r="S1" t="s">
        <v>193</v>
      </c>
      <c r="U1" t="s">
        <v>19</v>
      </c>
      <c r="V1" t="s">
        <v>194</v>
      </c>
      <c r="W1" t="s">
        <v>195</v>
      </c>
      <c r="X1" t="s">
        <v>50</v>
      </c>
      <c r="Y1" t="s">
        <v>67</v>
      </c>
      <c r="Z1" t="s">
        <v>190</v>
      </c>
      <c r="AB1" t="s">
        <v>196</v>
      </c>
      <c r="AC1" t="s">
        <v>149</v>
      </c>
      <c r="AG1" t="s">
        <v>51</v>
      </c>
      <c r="AL1" t="s">
        <v>197</v>
      </c>
    </row>
    <row r="2" spans="1:38">
      <c r="A2" t="s">
        <v>1</v>
      </c>
      <c r="C2" t="s">
        <v>3</v>
      </c>
      <c r="F2" t="s">
        <v>53</v>
      </c>
      <c r="G2" t="s">
        <v>32</v>
      </c>
      <c r="J2" t="s">
        <v>55</v>
      </c>
      <c r="N2" t="s">
        <v>28</v>
      </c>
      <c r="O2" t="s">
        <v>8</v>
      </c>
      <c r="U2" t="s">
        <v>20</v>
      </c>
      <c r="V2" t="s">
        <v>92</v>
      </c>
      <c r="W2" t="s">
        <v>36</v>
      </c>
      <c r="X2" t="s">
        <v>23</v>
      </c>
      <c r="Y2" t="s">
        <v>191</v>
      </c>
      <c r="AE2" t="s">
        <v>10</v>
      </c>
      <c r="AH2" t="s">
        <v>30</v>
      </c>
      <c r="AI2" t="s">
        <v>69</v>
      </c>
      <c r="AL2" t="s">
        <v>198</v>
      </c>
    </row>
    <row r="3" spans="1:38">
      <c r="A3" t="s">
        <v>0</v>
      </c>
      <c r="B3" t="s">
        <v>7</v>
      </c>
      <c r="C3" t="s">
        <v>4</v>
      </c>
      <c r="D3" s="19" t="s">
        <v>156</v>
      </c>
      <c r="E3" t="s">
        <v>59</v>
      </c>
      <c r="F3" t="s">
        <v>52</v>
      </c>
      <c r="G3" t="s">
        <v>31</v>
      </c>
      <c r="H3" t="s">
        <v>38</v>
      </c>
      <c r="I3" t="s">
        <v>90</v>
      </c>
      <c r="J3" t="s">
        <v>54</v>
      </c>
      <c r="K3" t="s">
        <v>89</v>
      </c>
      <c r="L3" t="s">
        <v>34</v>
      </c>
      <c r="M3" t="s">
        <v>56</v>
      </c>
      <c r="N3" t="s">
        <v>27</v>
      </c>
      <c r="O3" t="s">
        <v>6</v>
      </c>
      <c r="P3" t="s">
        <v>40</v>
      </c>
      <c r="Q3" t="s">
        <v>14</v>
      </c>
      <c r="R3" t="s">
        <v>12</v>
      </c>
      <c r="S3" t="s">
        <v>9</v>
      </c>
      <c r="T3" t="s">
        <v>64</v>
      </c>
      <c r="U3" t="s">
        <v>18</v>
      </c>
      <c r="V3" t="s">
        <v>17</v>
      </c>
      <c r="W3" t="s">
        <v>21</v>
      </c>
      <c r="X3" t="s">
        <v>22</v>
      </c>
      <c r="Y3" t="s">
        <v>57</v>
      </c>
      <c r="Z3" s="4" t="s">
        <v>24</v>
      </c>
      <c r="AA3" t="s">
        <v>25</v>
      </c>
      <c r="AB3" t="s">
        <v>37</v>
      </c>
      <c r="AC3" t="s">
        <v>62</v>
      </c>
      <c r="AD3" t="s">
        <v>68</v>
      </c>
      <c r="AE3" t="s">
        <v>11</v>
      </c>
      <c r="AF3" t="s">
        <v>16</v>
      </c>
      <c r="AG3" t="s">
        <v>26</v>
      </c>
      <c r="AH3" t="s">
        <v>29</v>
      </c>
      <c r="AI3" t="s">
        <v>15</v>
      </c>
      <c r="AJ3" t="s">
        <v>63</v>
      </c>
      <c r="AK3" t="s">
        <v>65</v>
      </c>
      <c r="AL3" t="s">
        <v>103</v>
      </c>
    </row>
    <row r="4" spans="1:38">
      <c r="B4" s="4">
        <v>1</v>
      </c>
      <c r="C4">
        <v>1</v>
      </c>
      <c r="E4">
        <v>0</v>
      </c>
      <c r="F4">
        <f t="shared" ref="F4:F9" si="0">AVERAGE(1402, 1437)</f>
        <v>1419.5</v>
      </c>
      <c r="G4">
        <f t="shared" ref="G4:G9" si="1">203.5/1000</f>
        <v>0.20349999999999999</v>
      </c>
      <c r="I4">
        <f t="shared" ref="I4:I9" si="2">G4/F4*1000</f>
        <v>0.14336033814723495</v>
      </c>
      <c r="J4">
        <f>I4*7.5</f>
        <v>1.0752025361042621</v>
      </c>
      <c r="K4">
        <f>J4/1000</f>
        <v>1.075202536104262E-3</v>
      </c>
      <c r="L4" s="4">
        <v>10</v>
      </c>
      <c r="M4">
        <f>L4*J4</f>
        <v>10.752025361042621</v>
      </c>
      <c r="N4">
        <v>1E-4</v>
      </c>
      <c r="O4">
        <v>10</v>
      </c>
      <c r="P4">
        <v>0.08</v>
      </c>
      <c r="Q4">
        <f t="shared" ref="Q4:Q7" si="3" xml:space="preserve"> 0.01* P4</f>
        <v>8.0000000000000004E-4</v>
      </c>
      <c r="R4">
        <v>1</v>
      </c>
      <c r="S4">
        <v>0</v>
      </c>
      <c r="T4" t="s">
        <v>61</v>
      </c>
      <c r="U4">
        <v>30</v>
      </c>
      <c r="V4">
        <f>10.6/24.6*1.07/2*0.9</f>
        <v>0.20747560975609758</v>
      </c>
      <c r="W4">
        <f>4.3 /1000000 *1.07</f>
        <v>4.6009999999999997E-6</v>
      </c>
      <c r="X4">
        <f>0.00000058</f>
        <v>5.7999999999999995E-7</v>
      </c>
      <c r="Y4">
        <v>0.43</v>
      </c>
      <c r="Z4" s="4">
        <f>Y4*1.066</f>
        <v>0.45838000000000001</v>
      </c>
      <c r="AA4">
        <f>Z4 *24</f>
        <v>11.00112</v>
      </c>
      <c r="AB4">
        <v>0.06</v>
      </c>
      <c r="AC4">
        <v>1</v>
      </c>
      <c r="AD4">
        <v>1E-4</v>
      </c>
      <c r="AE4">
        <v>1</v>
      </c>
      <c r="AF4">
        <v>0</v>
      </c>
      <c r="AG4">
        <f>10*0.103714686</f>
        <v>1.03714686</v>
      </c>
      <c r="AH4">
        <v>1E-3</v>
      </c>
      <c r="AI4">
        <f t="shared" ref="AI4:AI9" si="4">0.0000001</f>
        <v>9.9999999999999995E-8</v>
      </c>
      <c r="AJ4">
        <v>1</v>
      </c>
      <c r="AK4" t="s">
        <v>61</v>
      </c>
      <c r="AL4">
        <v>9.375E-2</v>
      </c>
    </row>
    <row r="5" spans="1:38">
      <c r="B5">
        <v>2</v>
      </c>
      <c r="C5">
        <v>1</v>
      </c>
      <c r="E5">
        <v>0</v>
      </c>
      <c r="F5">
        <f t="shared" si="0"/>
        <v>1419.5</v>
      </c>
      <c r="G5">
        <f t="shared" si="1"/>
        <v>0.20349999999999999</v>
      </c>
      <c r="I5">
        <f t="shared" si="2"/>
        <v>0.14336033814723495</v>
      </c>
      <c r="J5">
        <f t="shared" ref="J5:J9" si="5">I5*7.5</f>
        <v>1.0752025361042621</v>
      </c>
      <c r="K5">
        <f>J5/1000</f>
        <v>1.075202536104262E-3</v>
      </c>
      <c r="L5" s="4">
        <v>10</v>
      </c>
      <c r="M5">
        <f>L5*J5</f>
        <v>10.752025361042621</v>
      </c>
      <c r="N5">
        <v>1E-4</v>
      </c>
      <c r="O5">
        <v>10</v>
      </c>
      <c r="P5">
        <v>0.08</v>
      </c>
      <c r="Q5">
        <f t="shared" si="3"/>
        <v>8.0000000000000004E-4</v>
      </c>
      <c r="R5">
        <v>1</v>
      </c>
      <c r="S5">
        <v>0</v>
      </c>
      <c r="T5" t="s">
        <v>61</v>
      </c>
      <c r="U5">
        <v>30</v>
      </c>
      <c r="V5">
        <f>10.6/24.6*1.07/2*0.9</f>
        <v>0.20747560975609758</v>
      </c>
      <c r="W5">
        <f>4.3 /1000000 *1.07</f>
        <v>4.6009999999999997E-6</v>
      </c>
      <c r="X5">
        <f t="shared" ref="X5:X9" si="6">0.00000058</f>
        <v>5.7999999999999995E-7</v>
      </c>
      <c r="Y5">
        <v>0.43</v>
      </c>
      <c r="Z5" s="4">
        <f>Y5*1.066</f>
        <v>0.45838000000000001</v>
      </c>
      <c r="AA5">
        <f>Z5 *24</f>
        <v>11.00112</v>
      </c>
      <c r="AB5">
        <v>0.06</v>
      </c>
      <c r="AC5">
        <v>1</v>
      </c>
      <c r="AD5">
        <v>1E-4</v>
      </c>
      <c r="AE5">
        <v>0</v>
      </c>
      <c r="AF5">
        <v>0</v>
      </c>
      <c r="AG5">
        <f t="shared" ref="AG5:AG9" si="7">10*0.103714686</f>
        <v>1.03714686</v>
      </c>
      <c r="AH5">
        <v>1E-3</v>
      </c>
      <c r="AI5">
        <f t="shared" si="4"/>
        <v>9.9999999999999995E-8</v>
      </c>
      <c r="AJ5">
        <v>1</v>
      </c>
      <c r="AK5" t="s">
        <v>61</v>
      </c>
      <c r="AL5">
        <v>9.375E-2</v>
      </c>
    </row>
    <row r="6" spans="1:38">
      <c r="B6">
        <v>3</v>
      </c>
      <c r="C6">
        <v>1</v>
      </c>
      <c r="E6">
        <v>1.5</v>
      </c>
      <c r="F6">
        <f t="shared" si="0"/>
        <v>1419.5</v>
      </c>
      <c r="G6">
        <f t="shared" si="1"/>
        <v>0.20349999999999999</v>
      </c>
      <c r="I6">
        <f t="shared" si="2"/>
        <v>0.14336033814723495</v>
      </c>
      <c r="J6">
        <f t="shared" si="5"/>
        <v>1.0752025361042621</v>
      </c>
      <c r="K6">
        <f t="shared" ref="K6:K9" si="8">J6/1000</f>
        <v>1.075202536104262E-3</v>
      </c>
      <c r="L6" s="4">
        <v>10</v>
      </c>
      <c r="M6">
        <f t="shared" ref="M6" si="9">L6*J6</f>
        <v>10.752025361042621</v>
      </c>
      <c r="N6">
        <v>1E-4</v>
      </c>
      <c r="O6">
        <v>10</v>
      </c>
      <c r="P6">
        <v>0.08</v>
      </c>
      <c r="Q6">
        <f t="shared" si="3"/>
        <v>8.0000000000000004E-4</v>
      </c>
      <c r="R6">
        <v>1</v>
      </c>
      <c r="S6">
        <v>0</v>
      </c>
      <c r="T6" t="s">
        <v>61</v>
      </c>
      <c r="U6">
        <v>30</v>
      </c>
      <c r="V6">
        <f t="shared" ref="V6:V9" si="10">10.6/24.6*1.07/2*0.9</f>
        <v>0.20747560975609758</v>
      </c>
      <c r="W6">
        <f t="shared" ref="W6:W9" si="11">4.3 /1000000 *1.07</f>
        <v>4.6009999999999997E-6</v>
      </c>
      <c r="X6">
        <f t="shared" si="6"/>
        <v>5.7999999999999995E-7</v>
      </c>
      <c r="Y6">
        <v>0.43</v>
      </c>
      <c r="Z6" s="4">
        <f t="shared" ref="Z6:Z8" si="12">Y6*1.066</f>
        <v>0.45838000000000001</v>
      </c>
      <c r="AA6">
        <f t="shared" ref="AA6:AA8" si="13">Z6 *24</f>
        <v>11.00112</v>
      </c>
      <c r="AB6">
        <v>0.06</v>
      </c>
      <c r="AC6">
        <v>1</v>
      </c>
      <c r="AD6">
        <v>1E-4</v>
      </c>
      <c r="AE6">
        <v>1</v>
      </c>
      <c r="AF6">
        <v>0</v>
      </c>
      <c r="AG6">
        <f t="shared" si="7"/>
        <v>1.03714686</v>
      </c>
      <c r="AH6">
        <v>1E-3</v>
      </c>
      <c r="AI6">
        <f t="shared" si="4"/>
        <v>9.9999999999999995E-8</v>
      </c>
      <c r="AJ6">
        <v>1</v>
      </c>
      <c r="AK6" t="s">
        <v>61</v>
      </c>
      <c r="AL6">
        <v>9.375E-2</v>
      </c>
    </row>
    <row r="7" spans="1:38">
      <c r="B7">
        <v>4</v>
      </c>
      <c r="C7">
        <v>1</v>
      </c>
      <c r="E7">
        <v>1.5</v>
      </c>
      <c r="F7">
        <f t="shared" si="0"/>
        <v>1419.5</v>
      </c>
      <c r="G7">
        <f t="shared" si="1"/>
        <v>0.20349999999999999</v>
      </c>
      <c r="I7">
        <f t="shared" si="2"/>
        <v>0.14336033814723495</v>
      </c>
      <c r="J7">
        <f t="shared" si="5"/>
        <v>1.0752025361042621</v>
      </c>
      <c r="K7">
        <f t="shared" si="8"/>
        <v>1.075202536104262E-3</v>
      </c>
      <c r="L7" s="4">
        <v>10</v>
      </c>
      <c r="M7">
        <f>L7*J7</f>
        <v>10.752025361042621</v>
      </c>
      <c r="N7">
        <v>1E-4</v>
      </c>
      <c r="O7">
        <v>10</v>
      </c>
      <c r="P7">
        <v>0.08</v>
      </c>
      <c r="Q7">
        <f t="shared" si="3"/>
        <v>8.0000000000000004E-4</v>
      </c>
      <c r="R7">
        <v>1</v>
      </c>
      <c r="S7">
        <v>0</v>
      </c>
      <c r="T7" t="s">
        <v>61</v>
      </c>
      <c r="U7">
        <v>30</v>
      </c>
      <c r="V7">
        <f t="shared" si="10"/>
        <v>0.20747560975609758</v>
      </c>
      <c r="W7">
        <f t="shared" si="11"/>
        <v>4.6009999999999997E-6</v>
      </c>
      <c r="X7">
        <f t="shared" si="6"/>
        <v>5.7999999999999995E-7</v>
      </c>
      <c r="Y7">
        <v>0.43</v>
      </c>
      <c r="Z7" s="4">
        <f t="shared" si="12"/>
        <v>0.45838000000000001</v>
      </c>
      <c r="AA7">
        <f t="shared" si="13"/>
        <v>11.00112</v>
      </c>
      <c r="AB7">
        <v>0.06</v>
      </c>
      <c r="AC7">
        <v>1</v>
      </c>
      <c r="AD7">
        <v>1E-4</v>
      </c>
      <c r="AE7">
        <v>0</v>
      </c>
      <c r="AF7">
        <v>0</v>
      </c>
      <c r="AG7">
        <f t="shared" si="7"/>
        <v>1.03714686</v>
      </c>
      <c r="AH7">
        <v>1E-3</v>
      </c>
      <c r="AI7">
        <f t="shared" si="4"/>
        <v>9.9999999999999995E-8</v>
      </c>
      <c r="AJ7">
        <v>1</v>
      </c>
      <c r="AK7" t="s">
        <v>61</v>
      </c>
      <c r="AL7">
        <v>9.375E-2</v>
      </c>
    </row>
    <row r="8" spans="1:38">
      <c r="B8">
        <v>5</v>
      </c>
      <c r="C8">
        <v>1</v>
      </c>
      <c r="E8">
        <v>3</v>
      </c>
      <c r="F8">
        <f t="shared" si="0"/>
        <v>1419.5</v>
      </c>
      <c r="G8">
        <f t="shared" si="1"/>
        <v>0.20349999999999999</v>
      </c>
      <c r="I8">
        <f t="shared" si="2"/>
        <v>0.14336033814723495</v>
      </c>
      <c r="J8">
        <f t="shared" si="5"/>
        <v>1.0752025361042621</v>
      </c>
      <c r="K8">
        <f t="shared" si="8"/>
        <v>1.075202536104262E-3</v>
      </c>
      <c r="L8" s="4">
        <v>10</v>
      </c>
      <c r="M8">
        <f t="shared" ref="M8" si="14">L8*J8</f>
        <v>10.752025361042621</v>
      </c>
      <c r="N8">
        <v>1E-4</v>
      </c>
      <c r="O8">
        <v>10</v>
      </c>
      <c r="P8">
        <v>0.08</v>
      </c>
      <c r="Q8">
        <f t="shared" ref="Q8:Q9" si="15" xml:space="preserve"> 0.01* P8</f>
        <v>8.0000000000000004E-4</v>
      </c>
      <c r="R8">
        <v>1</v>
      </c>
      <c r="S8">
        <v>0</v>
      </c>
      <c r="T8" t="s">
        <v>61</v>
      </c>
      <c r="U8">
        <v>30</v>
      </c>
      <c r="V8">
        <f t="shared" si="10"/>
        <v>0.20747560975609758</v>
      </c>
      <c r="W8">
        <f t="shared" si="11"/>
        <v>4.6009999999999997E-6</v>
      </c>
      <c r="X8">
        <f t="shared" si="6"/>
        <v>5.7999999999999995E-7</v>
      </c>
      <c r="Y8">
        <v>0.43</v>
      </c>
      <c r="Z8" s="4">
        <f t="shared" si="12"/>
        <v>0.45838000000000001</v>
      </c>
      <c r="AA8">
        <f t="shared" si="13"/>
        <v>11.00112</v>
      </c>
      <c r="AB8">
        <v>0.06</v>
      </c>
      <c r="AC8">
        <v>1</v>
      </c>
      <c r="AD8">
        <v>1E-4</v>
      </c>
      <c r="AE8">
        <v>1</v>
      </c>
      <c r="AF8">
        <v>0</v>
      </c>
      <c r="AG8">
        <f t="shared" si="7"/>
        <v>1.03714686</v>
      </c>
      <c r="AH8">
        <v>1E-3</v>
      </c>
      <c r="AI8">
        <f t="shared" si="4"/>
        <v>9.9999999999999995E-8</v>
      </c>
      <c r="AJ8">
        <v>1</v>
      </c>
      <c r="AK8" t="s">
        <v>61</v>
      </c>
      <c r="AL8">
        <v>9.375E-2</v>
      </c>
    </row>
    <row r="9" spans="1:38">
      <c r="B9">
        <v>6</v>
      </c>
      <c r="C9">
        <v>1</v>
      </c>
      <c r="E9">
        <v>3</v>
      </c>
      <c r="F9">
        <f t="shared" si="0"/>
        <v>1419.5</v>
      </c>
      <c r="G9">
        <f t="shared" si="1"/>
        <v>0.20349999999999999</v>
      </c>
      <c r="I9">
        <f t="shared" si="2"/>
        <v>0.14336033814723495</v>
      </c>
      <c r="J9">
        <f t="shared" si="5"/>
        <v>1.0752025361042621</v>
      </c>
      <c r="K9">
        <f t="shared" si="8"/>
        <v>1.075202536104262E-3</v>
      </c>
      <c r="L9" s="4">
        <v>10</v>
      </c>
      <c r="M9">
        <f>L9*J9</f>
        <v>10.752025361042621</v>
      </c>
      <c r="N9">
        <v>1E-4</v>
      </c>
      <c r="O9">
        <v>10</v>
      </c>
      <c r="P9">
        <v>0.08</v>
      </c>
      <c r="Q9">
        <f t="shared" si="15"/>
        <v>8.0000000000000004E-4</v>
      </c>
      <c r="R9">
        <v>1</v>
      </c>
      <c r="S9">
        <v>0</v>
      </c>
      <c r="T9" t="s">
        <v>61</v>
      </c>
      <c r="U9">
        <v>30</v>
      </c>
      <c r="V9">
        <f t="shared" si="10"/>
        <v>0.20747560975609758</v>
      </c>
      <c r="W9">
        <f t="shared" si="11"/>
        <v>4.6009999999999997E-6</v>
      </c>
      <c r="X9">
        <f t="shared" si="6"/>
        <v>5.7999999999999995E-7</v>
      </c>
      <c r="Y9">
        <v>0.43</v>
      </c>
      <c r="Z9" s="4">
        <f>Y9*1.066</f>
        <v>0.45838000000000001</v>
      </c>
      <c r="AA9">
        <f>Z9 *24</f>
        <v>11.00112</v>
      </c>
      <c r="AB9">
        <v>0.06</v>
      </c>
      <c r="AC9">
        <v>1</v>
      </c>
      <c r="AD9">
        <v>1E-4</v>
      </c>
      <c r="AE9">
        <v>0</v>
      </c>
      <c r="AF9">
        <v>0</v>
      </c>
      <c r="AG9">
        <f t="shared" si="7"/>
        <v>1.03714686</v>
      </c>
      <c r="AH9">
        <v>1E-3</v>
      </c>
      <c r="AI9">
        <f t="shared" si="4"/>
        <v>9.9999999999999995E-8</v>
      </c>
      <c r="AJ9">
        <v>1</v>
      </c>
      <c r="AK9" t="s">
        <v>61</v>
      </c>
      <c r="AL9">
        <v>9.375E-2</v>
      </c>
    </row>
  </sheetData>
  <autoFilter ref="A3:AL3" xr:uid="{AB7B919E-F4BE-8A4F-9679-A3F32BFB830E}"/>
  <pageMargins left="0.7" right="0.7" top="0.78740157499999996" bottom="0.78740157499999996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644CC1-E167-AE40-81F2-8D9D4BC8EB36}">
  <dimension ref="B1:U139"/>
  <sheetViews>
    <sheetView topLeftCell="A129" workbookViewId="0">
      <selection activeCell="F133" sqref="F133"/>
    </sheetView>
  </sheetViews>
  <sheetFormatPr baseColWidth="10" defaultColWidth="10.6640625" defaultRowHeight="16"/>
  <cols>
    <col min="4" max="4" width="12.1640625" bestFit="1" customWidth="1"/>
    <col min="11" max="12" width="12.1640625" bestFit="1" customWidth="1"/>
  </cols>
  <sheetData>
    <row r="1" spans="2:21">
      <c r="B1" t="s">
        <v>41</v>
      </c>
    </row>
    <row r="3" spans="2:21">
      <c r="L3" s="7"/>
      <c r="M3" s="7"/>
      <c r="N3" s="7"/>
      <c r="O3" s="7"/>
      <c r="P3" s="7"/>
      <c r="Q3" s="7"/>
      <c r="R3" s="7"/>
      <c r="S3" s="7"/>
      <c r="T3" s="7"/>
      <c r="U3" s="7"/>
    </row>
    <row r="4" spans="2:21"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>
      <c r="L5" s="7"/>
      <c r="M5" s="7"/>
      <c r="N5" s="7"/>
      <c r="O5" s="7"/>
      <c r="P5" s="7"/>
      <c r="Q5" s="7"/>
      <c r="R5" s="7"/>
      <c r="S5" s="7"/>
      <c r="T5" s="7"/>
      <c r="U5" s="7"/>
    </row>
    <row r="6" spans="2:21">
      <c r="L6" s="7"/>
      <c r="M6" s="7"/>
      <c r="N6" s="7"/>
      <c r="O6" s="7"/>
      <c r="P6" s="7"/>
      <c r="Q6" s="7"/>
      <c r="R6" s="7"/>
      <c r="S6" s="7"/>
      <c r="T6" s="7"/>
      <c r="U6" s="7"/>
    </row>
    <row r="7" spans="2:21">
      <c r="L7" s="7"/>
      <c r="M7" s="7"/>
      <c r="N7" s="7"/>
      <c r="O7" s="7"/>
      <c r="P7" s="7"/>
      <c r="Q7" s="7"/>
      <c r="R7" s="7"/>
      <c r="S7" s="7"/>
      <c r="T7" s="7"/>
      <c r="U7" s="7"/>
    </row>
    <row r="8" spans="2:21">
      <c r="L8" s="7"/>
      <c r="M8" s="7"/>
      <c r="N8" s="7"/>
      <c r="O8" s="7"/>
      <c r="P8" s="7"/>
      <c r="Q8" s="7"/>
      <c r="R8" s="7"/>
      <c r="S8" s="7"/>
      <c r="T8" s="7"/>
      <c r="U8" s="7"/>
    </row>
    <row r="11" spans="2:21">
      <c r="P11" s="3"/>
    </row>
    <row r="13" spans="2:21">
      <c r="O13" s="2"/>
    </row>
    <row r="16" spans="2:21">
      <c r="L16" s="6" t="s">
        <v>71</v>
      </c>
    </row>
    <row r="17" spans="12:20">
      <c r="L17" s="1" t="s">
        <v>70</v>
      </c>
      <c r="N17" t="s">
        <v>42</v>
      </c>
      <c r="O17" t="s">
        <v>46</v>
      </c>
      <c r="P17" t="s">
        <v>43</v>
      </c>
      <c r="Q17" t="s">
        <v>44</v>
      </c>
      <c r="R17" t="s">
        <v>45</v>
      </c>
      <c r="T17" t="s">
        <v>49</v>
      </c>
    </row>
    <row r="18" spans="12:20">
      <c r="L18" t="s">
        <v>80</v>
      </c>
      <c r="N18" t="s">
        <v>47</v>
      </c>
      <c r="O18">
        <v>9</v>
      </c>
      <c r="P18">
        <v>9</v>
      </c>
      <c r="Q18">
        <v>6</v>
      </c>
      <c r="R18">
        <v>1</v>
      </c>
      <c r="T18">
        <f>O18+P18/4-Q18/2-3/4*R18</f>
        <v>7.5</v>
      </c>
    </row>
    <row r="19" spans="12:20">
      <c r="L19" t="s">
        <v>78</v>
      </c>
    </row>
    <row r="20" spans="12:20">
      <c r="L20" t="s">
        <v>79</v>
      </c>
    </row>
    <row r="21" spans="12:20">
      <c r="L21">
        <f>9*12+9+6*16+14</f>
        <v>227</v>
      </c>
      <c r="M21" t="s">
        <v>66</v>
      </c>
    </row>
    <row r="22" spans="12:20">
      <c r="L22" t="s">
        <v>72</v>
      </c>
    </row>
    <row r="25" spans="12:20">
      <c r="L25" s="1" t="s">
        <v>73</v>
      </c>
      <c r="N25" t="s">
        <v>42</v>
      </c>
      <c r="O25" t="s">
        <v>46</v>
      </c>
      <c r="P25" t="s">
        <v>43</v>
      </c>
      <c r="Q25" t="s">
        <v>44</v>
      </c>
      <c r="R25" t="s">
        <v>45</v>
      </c>
      <c r="T25" t="s">
        <v>49</v>
      </c>
    </row>
    <row r="26" spans="12:20">
      <c r="L26" t="s">
        <v>81</v>
      </c>
      <c r="N26" t="s">
        <v>75</v>
      </c>
      <c r="O26">
        <v>2</v>
      </c>
      <c r="P26">
        <v>4</v>
      </c>
      <c r="Q26">
        <v>2</v>
      </c>
      <c r="R26">
        <v>0</v>
      </c>
      <c r="T26">
        <f>O26+P26/4-Q26/2-3/4*R26</f>
        <v>2</v>
      </c>
    </row>
    <row r="27" spans="12:20">
      <c r="L27">
        <v>60</v>
      </c>
      <c r="M27" t="s">
        <v>66</v>
      </c>
    </row>
    <row r="28" spans="12:20">
      <c r="L28" t="s">
        <v>74</v>
      </c>
    </row>
    <row r="31" spans="12:20">
      <c r="L31" t="s">
        <v>157</v>
      </c>
    </row>
    <row r="32" spans="12:20" ht="18">
      <c r="L32" t="s">
        <v>76</v>
      </c>
    </row>
    <row r="33" spans="10:20">
      <c r="L33" s="1" t="s">
        <v>77</v>
      </c>
      <c r="N33" t="s">
        <v>42</v>
      </c>
      <c r="O33" t="s">
        <v>46</v>
      </c>
      <c r="P33" t="s">
        <v>43</v>
      </c>
      <c r="Q33" t="s">
        <v>44</v>
      </c>
      <c r="R33" t="s">
        <v>45</v>
      </c>
      <c r="T33" t="s">
        <v>49</v>
      </c>
    </row>
    <row r="34" spans="10:20">
      <c r="L34" t="s">
        <v>84</v>
      </c>
      <c r="N34" t="s">
        <v>75</v>
      </c>
      <c r="O34">
        <v>1</v>
      </c>
      <c r="P34">
        <v>1.8</v>
      </c>
      <c r="Q34">
        <v>0.5</v>
      </c>
      <c r="R34">
        <v>0.2</v>
      </c>
      <c r="T34">
        <f>O34+P34/4-Q34/2-3/4*R34</f>
        <v>1.0499999999999998</v>
      </c>
    </row>
    <row r="35" spans="10:20">
      <c r="J35" s="11"/>
      <c r="K35" s="10"/>
      <c r="L35" t="s">
        <v>83</v>
      </c>
    </row>
    <row r="36" spans="10:20">
      <c r="L36">
        <f>1+1.8/4-  0.5/2 -3/4*0.2</f>
        <v>1.0499999999999998</v>
      </c>
      <c r="M36">
        <f>1+(1.8/4) -  (0.5/2) -(3/4*0.2)</f>
        <v>1.0499999999999998</v>
      </c>
    </row>
    <row r="37" spans="10:20">
      <c r="M37" s="9"/>
    </row>
    <row r="40" spans="10:20">
      <c r="M40" t="s">
        <v>85</v>
      </c>
    </row>
    <row r="41" spans="10:20">
      <c r="M41">
        <v>2.6</v>
      </c>
      <c r="N41" t="s">
        <v>82</v>
      </c>
      <c r="P41">
        <v>2.6</v>
      </c>
      <c r="Q41" t="s">
        <v>82</v>
      </c>
    </row>
    <row r="42" spans="10:20">
      <c r="L42" t="s">
        <v>91</v>
      </c>
      <c r="M42">
        <f>12+1.8+0.5*16+0.2*14</f>
        <v>24.6</v>
      </c>
      <c r="N42" t="s">
        <v>158</v>
      </c>
    </row>
    <row r="48" spans="10:20">
      <c r="L48" s="5"/>
    </row>
    <row r="50" spans="3:14">
      <c r="M50" t="s">
        <v>1</v>
      </c>
      <c r="N50" t="s">
        <v>86</v>
      </c>
    </row>
    <row r="51" spans="3:14">
      <c r="L51">
        <f>0.2035/1419.5*1000</f>
        <v>0.14336033814723495</v>
      </c>
      <c r="M51" t="s">
        <v>88</v>
      </c>
      <c r="N51" t="s">
        <v>87</v>
      </c>
    </row>
    <row r="54" spans="3:14">
      <c r="L54">
        <f>0.00000005/24.6*0.1</f>
        <v>2.032520325203252E-10</v>
      </c>
      <c r="M54" t="s">
        <v>173</v>
      </c>
    </row>
    <row r="55" spans="3:14">
      <c r="L55">
        <f>1.05*2.03*10^-10</f>
        <v>2.1315000000000001E-10</v>
      </c>
    </row>
    <row r="56" spans="3:14">
      <c r="M56" s="12"/>
    </row>
    <row r="57" spans="3:14">
      <c r="L57" s="8"/>
    </row>
    <row r="58" spans="3:14">
      <c r="L58" t="s">
        <v>93</v>
      </c>
    </row>
    <row r="59" spans="3:14" ht="18">
      <c r="L59" t="s">
        <v>94</v>
      </c>
    </row>
    <row r="60" spans="3:14">
      <c r="C60" t="s">
        <v>104</v>
      </c>
      <c r="D60" t="s">
        <v>105</v>
      </c>
      <c r="L60" s="1" t="s">
        <v>100</v>
      </c>
      <c r="M60">
        <f>5*12+7+2*16+14</f>
        <v>113</v>
      </c>
      <c r="N60" t="s">
        <v>48</v>
      </c>
    </row>
    <row r="61" spans="3:14">
      <c r="D61" t="s">
        <v>106</v>
      </c>
      <c r="E61" t="s">
        <v>107</v>
      </c>
      <c r="L61" t="s">
        <v>95</v>
      </c>
    </row>
    <row r="62" spans="3:14">
      <c r="C62" t="s">
        <v>110</v>
      </c>
      <c r="D62">
        <v>7.5</v>
      </c>
      <c r="E62" t="s">
        <v>107</v>
      </c>
      <c r="L62" t="s">
        <v>96</v>
      </c>
    </row>
    <row r="63" spans="3:14">
      <c r="C63" t="s">
        <v>111</v>
      </c>
      <c r="D63">
        <v>5.9</v>
      </c>
      <c r="E63" t="s">
        <v>107</v>
      </c>
      <c r="L63" t="s">
        <v>97</v>
      </c>
    </row>
    <row r="64" spans="3:14">
      <c r="C64" s="13" t="s">
        <v>108</v>
      </c>
      <c r="D64" s="13">
        <f>D62-D63</f>
        <v>1.5999999999999996</v>
      </c>
      <c r="E64" s="13" t="s">
        <v>107</v>
      </c>
      <c r="F64" s="13"/>
      <c r="K64">
        <f>17/4</f>
        <v>4.25</v>
      </c>
      <c r="L64" t="s">
        <v>98</v>
      </c>
    </row>
    <row r="65" spans="3:13">
      <c r="C65" s="13" t="s">
        <v>109</v>
      </c>
      <c r="D65" s="13">
        <f>D62+D63</f>
        <v>13.4</v>
      </c>
      <c r="E65" s="13" t="s">
        <v>107</v>
      </c>
      <c r="F65" s="13"/>
      <c r="L65" t="s">
        <v>99</v>
      </c>
    </row>
    <row r="66" spans="3:13">
      <c r="C66" t="s">
        <v>112</v>
      </c>
      <c r="D66">
        <f>D62/227.172/1000</f>
        <v>3.3014632084940045E-5</v>
      </c>
      <c r="E66" t="s">
        <v>113</v>
      </c>
      <c r="L66">
        <f>4.25*32</f>
        <v>136</v>
      </c>
      <c r="M66" t="s">
        <v>101</v>
      </c>
    </row>
    <row r="67" spans="3:13">
      <c r="C67" t="s">
        <v>114</v>
      </c>
      <c r="D67">
        <f>D63/227.172/1000</f>
        <v>2.5971510573486172E-5</v>
      </c>
      <c r="E67" t="s">
        <v>113</v>
      </c>
      <c r="L67">
        <f>L66/M60</f>
        <v>1.2035398230088497</v>
      </c>
      <c r="M67" t="s">
        <v>102</v>
      </c>
    </row>
    <row r="68" spans="3:13">
      <c r="C68" t="s">
        <v>112</v>
      </c>
      <c r="D68">
        <f>D66*24.6</f>
        <v>8.1215994928952515E-4</v>
      </c>
      <c r="E68" t="s">
        <v>115</v>
      </c>
      <c r="L68" t="s">
        <v>174</v>
      </c>
    </row>
    <row r="69" spans="3:13">
      <c r="C69" t="s">
        <v>114</v>
      </c>
      <c r="D69">
        <f>D67*24.6</f>
        <v>6.388991601077599E-4</v>
      </c>
      <c r="E69" t="s">
        <v>115</v>
      </c>
    </row>
    <row r="70" spans="3:13">
      <c r="C70" t="s">
        <v>112</v>
      </c>
      <c r="D70">
        <f>D68*1.075/1.05</f>
        <v>8.3149709093927569E-4</v>
      </c>
      <c r="E70" t="s">
        <v>116</v>
      </c>
    </row>
    <row r="71" spans="3:13">
      <c r="C71" t="s">
        <v>114</v>
      </c>
      <c r="D71">
        <f>D69*1.075/1.05</f>
        <v>6.5411104487223025E-4</v>
      </c>
      <c r="E71" t="s">
        <v>116</v>
      </c>
    </row>
    <row r="75" spans="3:13">
      <c r="C75" s="12" t="s">
        <v>117</v>
      </c>
    </row>
    <row r="76" spans="3:13">
      <c r="D76">
        <v>0.33</v>
      </c>
      <c r="E76" t="s">
        <v>118</v>
      </c>
    </row>
    <row r="77" spans="3:13">
      <c r="D77">
        <v>0.73</v>
      </c>
      <c r="E77" t="s">
        <v>118</v>
      </c>
    </row>
    <row r="78" spans="3:13">
      <c r="D78">
        <f>D76/1000000</f>
        <v>3.3000000000000002E-7</v>
      </c>
      <c r="E78" t="s">
        <v>124</v>
      </c>
    </row>
    <row r="79" spans="3:13">
      <c r="D79">
        <f>D77/1000000</f>
        <v>7.3E-7</v>
      </c>
      <c r="E79" t="s">
        <v>124</v>
      </c>
    </row>
    <row r="80" spans="3:13">
      <c r="D80">
        <f>D78/12</f>
        <v>2.7500000000000001E-8</v>
      </c>
      <c r="E80" t="s">
        <v>119</v>
      </c>
    </row>
    <row r="81" spans="4:12">
      <c r="D81">
        <f>D79/12</f>
        <v>6.0833333333333329E-8</v>
      </c>
      <c r="E81" t="s">
        <v>119</v>
      </c>
    </row>
    <row r="82" spans="4:12">
      <c r="D82">
        <f>D80/0.0000005*0.1</f>
        <v>5.5000000000000014E-3</v>
      </c>
      <c r="E82" t="s">
        <v>120</v>
      </c>
    </row>
    <row r="83" spans="4:12">
      <c r="D83">
        <f>D81/0.0000005*0.1</f>
        <v>1.2166666666666666E-2</v>
      </c>
      <c r="E83" t="s">
        <v>121</v>
      </c>
    </row>
    <row r="84" spans="4:12">
      <c r="D84">
        <f>D82*24.6</f>
        <v>0.13530000000000003</v>
      </c>
      <c r="E84" t="s">
        <v>122</v>
      </c>
    </row>
    <row r="85" spans="4:12">
      <c r="D85">
        <f>D83*24.6</f>
        <v>0.29930000000000001</v>
      </c>
      <c r="E85" t="s">
        <v>122</v>
      </c>
    </row>
    <row r="86" spans="4:12">
      <c r="D86">
        <f>D84*1/1.05</f>
        <v>0.12885714285714289</v>
      </c>
      <c r="E86" t="s">
        <v>123</v>
      </c>
    </row>
    <row r="87" spans="4:12">
      <c r="D87">
        <f>D85*1/1.05</f>
        <v>0.28504761904761905</v>
      </c>
      <c r="E87" t="s">
        <v>123</v>
      </c>
    </row>
    <row r="89" spans="4:12">
      <c r="D89">
        <f>AVERAGE(D87,D86,D70,D125,D126)</f>
        <v>8.4242681454371637E-2</v>
      </c>
      <c r="E89" t="s">
        <v>148</v>
      </c>
      <c r="K89" s="16" t="s">
        <v>128</v>
      </c>
    </row>
    <row r="90" spans="4:12">
      <c r="D90" s="14">
        <v>6.905E-6</v>
      </c>
      <c r="E90" t="s">
        <v>125</v>
      </c>
      <c r="K90">
        <v>0.35</v>
      </c>
      <c r="L90" t="s">
        <v>129</v>
      </c>
    </row>
    <row r="91" spans="4:12">
      <c r="D91" s="14">
        <f>D89*D90</f>
        <v>5.8169571544243611E-7</v>
      </c>
      <c r="E91" t="s">
        <v>126</v>
      </c>
      <c r="K91">
        <f>K90/1000000/24.6</f>
        <v>1.4227642276422762E-8</v>
      </c>
      <c r="L91" t="s">
        <v>130</v>
      </c>
    </row>
    <row r="92" spans="4:12">
      <c r="D92" s="14">
        <f>D91</f>
        <v>5.8169571544243611E-7</v>
      </c>
      <c r="E92" t="s">
        <v>127</v>
      </c>
      <c r="K92">
        <f>K91*1.05</f>
        <v>1.4939024390243901E-8</v>
      </c>
      <c r="L92" t="s">
        <v>131</v>
      </c>
    </row>
    <row r="93" spans="4:12">
      <c r="K93">
        <f>0.00001</f>
        <v>1.0000000000000001E-5</v>
      </c>
      <c r="L93" t="s">
        <v>132</v>
      </c>
    </row>
    <row r="94" spans="4:12">
      <c r="K94">
        <f>K92/K93</f>
        <v>1.4939024390243901E-3</v>
      </c>
      <c r="L94" t="s">
        <v>133</v>
      </c>
    </row>
    <row r="96" spans="4:12">
      <c r="E96" t="s">
        <v>134</v>
      </c>
    </row>
    <row r="97" spans="4:14">
      <c r="D97">
        <v>0.33500000000000002</v>
      </c>
      <c r="E97" s="17" t="s">
        <v>150</v>
      </c>
    </row>
    <row r="98" spans="4:14">
      <c r="D98">
        <v>9.09</v>
      </c>
      <c r="E98" t="s">
        <v>135</v>
      </c>
      <c r="F98" t="s">
        <v>136</v>
      </c>
      <c r="L98" t="s">
        <v>159</v>
      </c>
    </row>
    <row r="99" spans="4:14">
      <c r="D99">
        <v>7.58</v>
      </c>
      <c r="E99" t="s">
        <v>135</v>
      </c>
      <c r="F99" t="s">
        <v>137</v>
      </c>
      <c r="L99">
        <f>AVERAGE(D127, D86:D87,D70)</f>
        <v>0.10371468607138892</v>
      </c>
      <c r="M99" t="s">
        <v>155</v>
      </c>
      <c r="N99" s="16" t="s">
        <v>153</v>
      </c>
    </row>
    <row r="100" spans="4:14">
      <c r="D100">
        <v>7.96</v>
      </c>
      <c r="E100" t="s">
        <v>135</v>
      </c>
      <c r="F100" t="s">
        <v>138</v>
      </c>
      <c r="N100" s="15" t="s">
        <v>154</v>
      </c>
    </row>
    <row r="101" spans="4:14">
      <c r="D101">
        <v>6.52</v>
      </c>
      <c r="E101" t="s">
        <v>135</v>
      </c>
      <c r="F101" t="s">
        <v>139</v>
      </c>
    </row>
    <row r="102" spans="4:14">
      <c r="D102">
        <v>4.71</v>
      </c>
      <c r="E102" s="17" t="s">
        <v>140</v>
      </c>
      <c r="F102" t="s">
        <v>137</v>
      </c>
      <c r="H102">
        <f>AVERAGE(D102:D105)</f>
        <v>4.3424999999999994</v>
      </c>
    </row>
    <row r="103" spans="4:14">
      <c r="D103">
        <v>4.3499999999999996</v>
      </c>
      <c r="E103" s="17" t="s">
        <v>140</v>
      </c>
      <c r="F103" t="s">
        <v>138</v>
      </c>
    </row>
    <row r="104" spans="4:14">
      <c r="D104">
        <v>4.18</v>
      </c>
      <c r="E104" s="17" t="s">
        <v>140</v>
      </c>
      <c r="F104" t="s">
        <v>139</v>
      </c>
    </row>
    <row r="105" spans="4:14">
      <c r="D105">
        <v>4.13</v>
      </c>
      <c r="E105" s="17" t="s">
        <v>140</v>
      </c>
      <c r="F105" t="s">
        <v>136</v>
      </c>
    </row>
    <row r="106" spans="4:14">
      <c r="D106">
        <v>4.3</v>
      </c>
      <c r="E106" s="17" t="s">
        <v>141</v>
      </c>
    </row>
    <row r="107" spans="4:14">
      <c r="D107">
        <v>0.5</v>
      </c>
      <c r="E107" s="17" t="s">
        <v>142</v>
      </c>
    </row>
    <row r="108" spans="4:14" ht="20">
      <c r="D108">
        <v>14.9</v>
      </c>
      <c r="E108" s="17" t="s">
        <v>144</v>
      </c>
    </row>
    <row r="109" spans="4:14">
      <c r="D109">
        <v>1.9</v>
      </c>
      <c r="E109" s="17" t="s">
        <v>143</v>
      </c>
    </row>
    <row r="110" spans="4:14">
      <c r="D110">
        <v>12.4</v>
      </c>
      <c r="E110" s="17" t="s">
        <v>146</v>
      </c>
    </row>
    <row r="111" spans="4:14">
      <c r="D111">
        <v>1.2</v>
      </c>
      <c r="E111" s="17" t="s">
        <v>145</v>
      </c>
    </row>
    <row r="112" spans="4:14">
      <c r="D112">
        <v>0.01</v>
      </c>
      <c r="E112" s="17" t="s">
        <v>160</v>
      </c>
    </row>
    <row r="113" spans="4:5">
      <c r="D113">
        <v>8.1</v>
      </c>
      <c r="E113" s="17" t="s">
        <v>161</v>
      </c>
    </row>
    <row r="114" spans="4:5">
      <c r="D114" s="18">
        <v>0.15336312500000002</v>
      </c>
      <c r="E114" s="17" t="s">
        <v>170</v>
      </c>
    </row>
    <row r="115" spans="4:5">
      <c r="E115" s="17" t="s">
        <v>147</v>
      </c>
    </row>
    <row r="116" spans="4:5">
      <c r="D116">
        <f>D112/12/1000</f>
        <v>8.3333333333333344E-7</v>
      </c>
      <c r="E116" s="17" t="s">
        <v>162</v>
      </c>
    </row>
    <row r="117" spans="4:5">
      <c r="D117">
        <f>D113/12/1000</f>
        <v>6.7499999999999993E-4</v>
      </c>
      <c r="E117" s="17" t="s">
        <v>163</v>
      </c>
    </row>
    <row r="118" spans="4:5">
      <c r="D118">
        <f>D114/12/1000</f>
        <v>1.2780260416666668E-5</v>
      </c>
      <c r="E118" s="17" t="s">
        <v>151</v>
      </c>
    </row>
    <row r="119" spans="4:5">
      <c r="D119">
        <f>D116/H$102</f>
        <v>1.9190174630589144E-7</v>
      </c>
      <c r="E119" s="17" t="s">
        <v>164</v>
      </c>
    </row>
    <row r="120" spans="4:5">
      <c r="D120">
        <f>D117/H$102</f>
        <v>1.5544041450777204E-4</v>
      </c>
      <c r="E120" s="17" t="s">
        <v>165</v>
      </c>
    </row>
    <row r="121" spans="4:5">
      <c r="D121">
        <f>D118/H$102</f>
        <v>2.9430651506428716E-6</v>
      </c>
      <c r="E121" s="17" t="s">
        <v>152</v>
      </c>
    </row>
    <row r="122" spans="4:5">
      <c r="D122">
        <f>D119*1000/24.6</f>
        <v>7.8008839961744482E-6</v>
      </c>
      <c r="E122" s="17" t="s">
        <v>166</v>
      </c>
    </row>
    <row r="123" spans="4:5">
      <c r="D123">
        <f>D120*1000/24.6</f>
        <v>6.3187160369013026E-3</v>
      </c>
      <c r="E123" s="17" t="s">
        <v>167</v>
      </c>
    </row>
    <row r="124" spans="4:5">
      <c r="D124">
        <f>D121*1000/24.6</f>
        <v>1.1963679474158013E-4</v>
      </c>
      <c r="E124" s="17" t="s">
        <v>171</v>
      </c>
    </row>
    <row r="125" spans="4:5">
      <c r="D125">
        <f>D122*1.075/1.05</f>
        <v>7.9866193294166962E-6</v>
      </c>
      <c r="E125" s="17" t="s">
        <v>168</v>
      </c>
    </row>
    <row r="126" spans="4:5">
      <c r="D126">
        <f>D123*1.075/1.05</f>
        <v>6.4691616568275231E-3</v>
      </c>
      <c r="E126" s="17" t="s">
        <v>169</v>
      </c>
    </row>
    <row r="127" spans="4:5">
      <c r="D127">
        <f>D124*1.075/1.05</f>
        <v>1.224852898544749E-4</v>
      </c>
      <c r="E127" s="17" t="s">
        <v>172</v>
      </c>
    </row>
    <row r="130" spans="4:6" ht="210">
      <c r="D130" s="20" t="s">
        <v>183</v>
      </c>
    </row>
    <row r="131" spans="4:6">
      <c r="D131">
        <f xml:space="preserve"> 1.6*10^-5</f>
        <v>1.6000000000000003E-5</v>
      </c>
      <c r="E131" t="s">
        <v>179</v>
      </c>
      <c r="F131" t="s">
        <v>178</v>
      </c>
    </row>
    <row r="132" spans="4:6">
      <c r="D132">
        <f>D131/3.5</f>
        <v>4.5714285714285719E-6</v>
      </c>
      <c r="E132" t="s">
        <v>180</v>
      </c>
      <c r="F132" t="s">
        <v>189</v>
      </c>
    </row>
    <row r="133" spans="4:6">
      <c r="D133">
        <v>630000</v>
      </c>
      <c r="E133" t="s">
        <v>176</v>
      </c>
      <c r="F133" t="s">
        <v>175</v>
      </c>
    </row>
    <row r="134" spans="4:6">
      <c r="D134">
        <f>D133*1000000000000</f>
        <v>6.3E+17</v>
      </c>
      <c r="E134" t="s">
        <v>177</v>
      </c>
      <c r="F134" t="s">
        <v>175</v>
      </c>
    </row>
    <row r="135" spans="4:6">
      <c r="D135">
        <f>D134*D132</f>
        <v>2880000000000.0005</v>
      </c>
      <c r="E135" t="s">
        <v>181</v>
      </c>
      <c r="F135" t="s">
        <v>182</v>
      </c>
    </row>
    <row r="136" spans="4:6">
      <c r="D136">
        <f>9*12+9+6*16+14</f>
        <v>227</v>
      </c>
      <c r="E136" t="s">
        <v>184</v>
      </c>
      <c r="F136" t="s">
        <v>185</v>
      </c>
    </row>
    <row r="137" spans="4:6">
      <c r="D137">
        <f>D135*D136</f>
        <v>653760000000000.12</v>
      </c>
      <c r="E137" t="s">
        <v>186</v>
      </c>
      <c r="F137" t="s">
        <v>182</v>
      </c>
    </row>
    <row r="138" spans="4:6">
      <c r="D138">
        <f>D137/1000</f>
        <v>653760000000.00012</v>
      </c>
      <c r="E138" t="s">
        <v>187</v>
      </c>
      <c r="F138" t="s">
        <v>182</v>
      </c>
    </row>
    <row r="139" spans="4:6">
      <c r="D139">
        <f>D138/1000</f>
        <v>653760000.00000012</v>
      </c>
      <c r="E139" t="s">
        <v>188</v>
      </c>
      <c r="F139" t="s">
        <v>182</v>
      </c>
    </row>
  </sheetData>
  <hyperlinks>
    <hyperlink ref="L16" r:id="rId1" display="https://www.chemspider.com/Chemical-Structure.32820151.html" xr:uid="{25C36313-9AA2-1245-B790-4702E26FCBD2}"/>
  </hyperlinks>
  <pageMargins left="0.7" right="0.7" top="0.78740157499999996" bottom="0.78740157499999996" header="0.3" footer="0.3"/>
  <pageSetup paperSize="9" orientation="portrait" horizontalDpi="0" verticalDpi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Tabelle1</vt:lpstr>
      <vt:lpstr>calculating_COD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Schmidt Isabel Susanne</dc:creator>
  <cp:lastModifiedBy>Schmidt Isabel Susanne</cp:lastModifiedBy>
  <dcterms:created xsi:type="dcterms:W3CDTF">2025-01-31T16:38:44Z</dcterms:created>
  <dcterms:modified xsi:type="dcterms:W3CDTF">2025-09-18T14:37:55Z</dcterms:modified>
</cp:coreProperties>
</file>